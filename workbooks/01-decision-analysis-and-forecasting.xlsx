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5F79406-03A9-48E3-981B-6A508B012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 start" sheetId="1" r:id="rId1"/>
    <sheet name="DECISION-TREE " sheetId="3" r:id="rId2"/>
    <sheet name="Decision Tree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3" l="1"/>
  <c r="K47" i="3" s="1"/>
  <c r="I44" i="3"/>
  <c r="K43" i="3"/>
  <c r="I42" i="3"/>
  <c r="I46" i="3" s="1"/>
  <c r="I40" i="3"/>
  <c r="K39" i="3"/>
  <c r="I36" i="3"/>
  <c r="K35" i="3"/>
  <c r="I34" i="3"/>
  <c r="I38" i="3" s="1"/>
  <c r="L32" i="3"/>
  <c r="N31" i="3" s="1"/>
  <c r="L30" i="3"/>
  <c r="L28" i="3"/>
  <c r="J28" i="3"/>
  <c r="N27" i="3"/>
  <c r="L26" i="3"/>
  <c r="L24" i="3"/>
  <c r="N23" i="3"/>
  <c r="L22" i="3"/>
  <c r="L20" i="3"/>
  <c r="J20" i="3" s="1"/>
  <c r="G24" i="3" s="1"/>
  <c r="G26" i="3" s="1"/>
  <c r="L16" i="3"/>
  <c r="N15" i="3"/>
  <c r="L14" i="3"/>
  <c r="L12" i="3"/>
  <c r="N11" i="3" s="1"/>
  <c r="J12" i="3"/>
  <c r="L10" i="3"/>
  <c r="L8" i="3"/>
  <c r="F8" i="3"/>
  <c r="N7" i="3"/>
  <c r="L6" i="3"/>
  <c r="L4" i="3"/>
  <c r="J4" i="3" s="1"/>
  <c r="G8" i="3" s="1"/>
  <c r="G10" i="3" s="1"/>
  <c r="N3" i="3"/>
  <c r="G44" i="3" l="1"/>
  <c r="N19" i="3"/>
  <c r="G36" i="3"/>
  <c r="D40" i="3" s="1"/>
  <c r="D42" i="3" s="1"/>
  <c r="F24" i="3"/>
  <c r="D16" i="3" s="1"/>
  <c r="A28" i="3" s="1"/>
  <c r="A30" i="3" s="1"/>
  <c r="C46" i="1"/>
  <c r="E46" i="1"/>
  <c r="F46" i="1"/>
  <c r="F38" i="1"/>
  <c r="F39" i="1"/>
  <c r="F40" i="1"/>
  <c r="F41" i="1"/>
  <c r="F42" i="1"/>
  <c r="F43" i="1"/>
  <c r="F44" i="1"/>
  <c r="F45" i="1"/>
  <c r="F37" i="1"/>
  <c r="E38" i="1"/>
  <c r="E39" i="1"/>
  <c r="E40" i="1"/>
  <c r="E41" i="1"/>
  <c r="E42" i="1"/>
  <c r="E43" i="1"/>
  <c r="E44" i="1"/>
  <c r="E45" i="1"/>
  <c r="E37" i="1"/>
  <c r="D37" i="1" l="1"/>
  <c r="D38" i="1"/>
  <c r="D39" i="1"/>
  <c r="D40" i="1"/>
  <c r="D41" i="1"/>
  <c r="D42" i="1"/>
  <c r="D43" i="1"/>
  <c r="D44" i="1"/>
  <c r="D45" i="1"/>
  <c r="D46" i="1"/>
  <c r="C45" i="1"/>
  <c r="C44" i="1"/>
  <c r="C43" i="1"/>
  <c r="C42" i="1"/>
  <c r="C41" i="1"/>
  <c r="C40" i="1"/>
  <c r="C39" i="1"/>
  <c r="C38" i="1"/>
  <c r="C37" i="1"/>
  <c r="I48" i="2" l="1"/>
  <c r="K47" i="2"/>
  <c r="I46" i="2"/>
  <c r="G44" i="2"/>
  <c r="K43" i="2"/>
  <c r="I42" i="2"/>
  <c r="K39" i="2"/>
  <c r="I38" i="2"/>
  <c r="G36" i="2"/>
  <c r="D40" i="2" s="1"/>
  <c r="D42" i="2" s="1"/>
  <c r="K35" i="2"/>
  <c r="I34" i="2"/>
  <c r="L32" i="2"/>
  <c r="N31" i="2"/>
  <c r="L30" i="2"/>
  <c r="L28" i="2"/>
  <c r="N27" i="2" s="1"/>
  <c r="J28" i="2"/>
  <c r="L26" i="2"/>
  <c r="L24" i="2"/>
  <c r="N23" i="2"/>
  <c r="L22" i="2"/>
  <c r="L20" i="2"/>
  <c r="J20" i="2" s="1"/>
  <c r="G24" i="2" s="1"/>
  <c r="G26" i="2" s="1"/>
  <c r="L16" i="2"/>
  <c r="N15" i="2"/>
  <c r="L14" i="2"/>
  <c r="L12" i="2"/>
  <c r="J12" i="2" s="1"/>
  <c r="L10" i="2"/>
  <c r="L8" i="2"/>
  <c r="J4" i="2" s="1"/>
  <c r="G8" i="2" s="1"/>
  <c r="G10" i="2" s="1"/>
  <c r="F8" i="2"/>
  <c r="F24" i="2" s="1"/>
  <c r="N7" i="2"/>
  <c r="L6" i="2"/>
  <c r="L4" i="2"/>
  <c r="N3" i="2"/>
  <c r="D16" i="2" l="1"/>
  <c r="A28" i="2" s="1"/>
  <c r="A30" i="2" s="1"/>
  <c r="N19" i="2"/>
  <c r="N11" i="2"/>
  <c r="Q13" i="1" l="1"/>
  <c r="Q12" i="1"/>
  <c r="T8" i="1"/>
  <c r="T9" i="1"/>
  <c r="T7" i="1"/>
  <c r="S8" i="1"/>
  <c r="S9" i="1"/>
  <c r="S7" i="1"/>
  <c r="R9" i="1"/>
  <c r="Q9" i="1"/>
  <c r="R8" i="1"/>
  <c r="Q8" i="1"/>
  <c r="Q7" i="1"/>
  <c r="R7" i="1"/>
</calcChain>
</file>

<file path=xl/sharedStrings.xml><?xml version="1.0" encoding="utf-8"?>
<sst xmlns="http://schemas.openxmlformats.org/spreadsheetml/2006/main" count="160" uniqueCount="86">
  <si>
    <t>R</t>
  </si>
  <si>
    <t>Student number:</t>
  </si>
  <si>
    <t>Name:</t>
  </si>
  <si>
    <t>(select)</t>
  </si>
  <si>
    <t>&lt; 20 square m</t>
  </si>
  <si>
    <r>
      <rPr>
        <sz val="11"/>
        <color theme="0"/>
        <rFont val="Calibri"/>
        <family val="2"/>
      </rPr>
      <t>≥</t>
    </r>
    <r>
      <rPr>
        <sz val="11"/>
        <color theme="0"/>
        <rFont val="Calibri"/>
        <family val="2"/>
        <scheme val="minor"/>
      </rPr>
      <t xml:space="preserve"> 20 square m and &lt;</t>
    </r>
    <r>
      <rPr>
        <sz val="11"/>
        <color theme="0"/>
        <rFont val="Calibri"/>
        <family val="2"/>
      </rPr>
      <t xml:space="preserve"> 50 square m</t>
    </r>
  </si>
  <si>
    <r>
      <rPr>
        <sz val="11"/>
        <color theme="0"/>
        <rFont val="Calibri"/>
        <family val="2"/>
      </rPr>
      <t>≥</t>
    </r>
    <r>
      <rPr>
        <sz val="11"/>
        <color theme="0"/>
        <rFont val="Calibri"/>
        <family val="2"/>
        <scheme val="minor"/>
      </rPr>
      <t xml:space="preserve"> 50 square m</t>
    </r>
  </si>
  <si>
    <t>The rates for your current venue is increasing to: R</t>
  </si>
  <si>
    <t>The rates for the new venue is: R</t>
  </si>
  <si>
    <t>Profit for well supported business: R</t>
  </si>
  <si>
    <t>Profit for poorly supported business: R</t>
  </si>
  <si>
    <t>Probability for favourable market survey:</t>
  </si>
  <si>
    <t>P(good support for current venue|positive survey)</t>
  </si>
  <si>
    <t>P(good support for new venue|positive survey)</t>
  </si>
  <si>
    <t>P(good support for current venue|negative survey)</t>
  </si>
  <si>
    <t>P(good support for new venue|negative survey)</t>
  </si>
  <si>
    <t>P(good support at current venue) with no survey</t>
  </si>
  <si>
    <t>P(good support at new venue) with no survey</t>
  </si>
  <si>
    <t>Profit (R)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</si>
  <si>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</si>
  <si>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</si>
  <si>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</si>
  <si>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</si>
  <si>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</si>
  <si>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</si>
  <si>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</si>
  <si>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</si>
  <si>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</si>
  <si>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3. Month</t>
  </si>
  <si>
    <t>Please select the approximate size of your shop/warehouse:</t>
  </si>
  <si>
    <t>2. According to the approximate size of your shop/warehouse:</t>
  </si>
  <si>
    <t>December</t>
  </si>
  <si>
    <t xml:space="preserve">1. Investment unit: </t>
  </si>
  <si>
    <t>Wayne Musawakhe Chipeya</t>
  </si>
  <si>
    <t>≥ 20 square m and &lt; 50 square m</t>
  </si>
  <si>
    <t>Alternatives</t>
  </si>
  <si>
    <t>Corporate bonds</t>
  </si>
  <si>
    <t>Preferred stock</t>
  </si>
  <si>
    <t>Common stock</t>
  </si>
  <si>
    <t>Favourable</t>
  </si>
  <si>
    <t>Unfavourable</t>
  </si>
  <si>
    <t>EMV Bar</t>
  </si>
  <si>
    <t>EMV Car</t>
  </si>
  <si>
    <t>EVPI</t>
  </si>
  <si>
    <t>EVPwI</t>
  </si>
  <si>
    <t>Favouable</t>
  </si>
  <si>
    <t>Current</t>
  </si>
  <si>
    <t>Positive</t>
  </si>
  <si>
    <t>New</t>
  </si>
  <si>
    <t>Conduct Survey</t>
  </si>
  <si>
    <t>Negative</t>
  </si>
  <si>
    <t>Do not conduct survey</t>
  </si>
  <si>
    <t>Trendline</t>
  </si>
  <si>
    <t>Error</t>
  </si>
  <si>
    <t>MSE</t>
  </si>
  <si>
    <t>ABS</t>
  </si>
  <si>
    <t>MAD</t>
  </si>
  <si>
    <t>Alpha</t>
  </si>
  <si>
    <t>Beta</t>
  </si>
  <si>
    <t>Data</t>
  </si>
  <si>
    <t>Forecasts and Error Analysis</t>
  </si>
  <si>
    <t>Demand</t>
  </si>
  <si>
    <t>Absolute</t>
  </si>
  <si>
    <t>Squared</t>
  </si>
  <si>
    <t>Abs Pct Err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</si>
  <si>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</si>
  <si>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</si>
  <si>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</si>
  <si>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</si>
  <si>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</si>
  <si>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</si>
  <si>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</si>
  <si>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</si>
  <si>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</si>
  <si>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Next period</t>
  </si>
  <si>
    <t>Total</t>
  </si>
  <si>
    <t>Average</t>
  </si>
  <si>
    <t>Bias</t>
  </si>
  <si>
    <t>MAPE</t>
  </si>
  <si>
    <t>SE</t>
  </si>
  <si>
    <t/>
  </si>
  <si>
    <t>Smoothed Forecast, Ft</t>
  </si>
  <si>
    <t>Smoothed Trend, Tt</t>
  </si>
  <si>
    <t>Forecast Including Trend, FITt</t>
  </si>
  <si>
    <t>Month</t>
  </si>
  <si>
    <t>Decision tree without subracting the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</si>
</sst>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 applyAlignment="1">
      <alignment horizontal="right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right"/>
    </xf>
    <xf numFmtId="0" fontId="0" fillId="0" borderId="8" xfId="0" applyBorder="1"/>
    <xf numFmtId="0" fontId="1" fillId="0" borderId="8" xfId="0" applyFont="1" applyBorder="1"/>
    <xf numFmtId="0" fontId="4" fillId="0" borderId="8" xfId="0" applyFont="1" applyBorder="1"/>
    <xf numFmtId="0" fontId="1" fillId="0" borderId="0" xfId="0" applyFont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8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8529770688535"/>
          <c:y val="0.12871559633027524"/>
          <c:w val="0.87313034368558007"/>
          <c:h val="0.7381535794264249"/>
        </c:manualLayout>
      </c:layout>
      <c:lineChart>
        <c:grouping val="standard"/>
        <c:varyColors val="0"/>
        <c:ser>
          <c:idx val="0"/>
          <c:order val="0"/>
          <c:tx>
            <c:strRef>
              <c:f>'AAA start'!$B$36</c:f>
              <c:strCache>
                <c:ptCount val="1"/>
                <c:pt idx="0">
                  <c:v>Profit (R)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1273965119842253E-3"/>
                  <c:y val="0.10525964135869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'AAA start'!$A$37:$A$46</c:f>
              <c:strCache>
                <c:ptCount val="10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</c:strCache>
            </c:strRef>
          </c:cat>
          <c:val>
            <c:numRef>
              <c:f>'AAA start'!$B$37:$B$46</c:f>
              <c:numCache>
                <c:formatCode>General</c:formatCode>
                <c:ptCount val="10"/>
                <c:pt idx="0">
                  <c:v>174000</c:v>
                </c:pt>
                <c:pt idx="1">
                  <c:v>189200.00000000003</c:v>
                </c:pt>
                <c:pt idx="2">
                  <c:v>224800</c:v>
                </c:pt>
                <c:pt idx="3">
                  <c:v>180400</c:v>
                </c:pt>
                <c:pt idx="4">
                  <c:v>186840</c:v>
                </c:pt>
                <c:pt idx="5">
                  <c:v>186000</c:v>
                </c:pt>
                <c:pt idx="6">
                  <c:v>196800</c:v>
                </c:pt>
                <c:pt idx="7">
                  <c:v>208400</c:v>
                </c:pt>
                <c:pt idx="8">
                  <c:v>233200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3-4A4B-9B94-1060031BB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663504"/>
        <c:axId val="1575663920"/>
      </c:lineChart>
      <c:catAx>
        <c:axId val="15756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63920"/>
        <c:crosses val="autoZero"/>
        <c:auto val="1"/>
        <c:lblAlgn val="ctr"/>
        <c:lblOffset val="100"/>
        <c:noMultiLvlLbl val="0"/>
      </c:catAx>
      <c:valAx>
        <c:axId val="15756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4</xdr:row>
      <xdr:rowOff>45720</xdr:rowOff>
    </xdr:from>
    <xdr:to>
      <xdr:col>8</xdr:col>
      <xdr:colOff>586740</xdr:colOff>
      <xdr:row>21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" y="693420"/>
          <a:ext cx="9959340" cy="31927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Now that you have started your own business, one of the first steps is to raise funds. You are considering three options: corporate bonds, preferred stock, and common stock. An investment </a:t>
          </a:r>
          <a:r>
            <a:rPr lang="en-GB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must be made in factors of the investment unit (see cell F23).</a:t>
          </a:r>
          <a:endParaRPr lang="en-ZA">
            <a:effectLst/>
          </a:endParaRPr>
        </a:p>
        <a:p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Ideally, </a:t>
          </a:r>
          <a:r>
            <a:rPr lang="en-US" sz="110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corporate bonds</a:t>
          </a: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would return 13% (simple interest) per year for the next 3 years. Otherwise you guarantee that investors in the corporate bonds would get at least 110% of the money invested back at the end of 3 years. </a:t>
          </a:r>
          <a:endParaRPr lang="en-ZA">
            <a:effectLst/>
          </a:endParaRPr>
        </a:p>
        <a:p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Investors in </a:t>
          </a:r>
          <a:r>
            <a:rPr lang="en-US" sz="110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preferred stock </a:t>
          </a: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see their initial investment increase by a factor of 4 in a favourable market or see the investment worth only half of the initial investment in an unfavourable market. </a:t>
          </a:r>
          <a:endParaRPr lang="en-ZA">
            <a:effectLst/>
          </a:endParaRPr>
        </a:p>
        <a:p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</a:t>
          </a:r>
          <a:r>
            <a:rPr lang="en-US" sz="110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stock </a:t>
          </a: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initial investment is expected to increase by a factor of 3 in a favourable market, but investors would lose everything if the market is unfavorable. </a:t>
          </a:r>
        </a:p>
        <a:p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this information to complete your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report</a:t>
          </a: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ZA">
            <a:effectLst/>
          </a:endParaRPr>
        </a:p>
        <a:p>
          <a:pPr eaLnBrk="1" fontAlgn="auto" latinLnBrk="0" hangingPunct="1"/>
          <a:r>
            <a:rPr lang="en-ZA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economic wake of USA tarrifs on South Africa</a:t>
          </a:r>
          <a:r>
            <a:rPr lang="en-ZA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rates for your business’s venue have increased. You have to decide whether to stay at the existing venue and pay the increased rates, or to move to a venue farther away from the central business district and pay lower rates. You have the option of doing a market survey to determine if your customers will keep supporting your business at the new venue. The market survey will cost you a maximum of R2000. </a:t>
          </a:r>
          <a:r>
            <a:rPr lang="en-GB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the size of your store/venue in row 4 and find the rates for the current and new premises in rows 25 and 26, respectively. Find the probability values below that.</a:t>
          </a:r>
        </a:p>
        <a:p>
          <a:pPr eaLnBrk="1" fontAlgn="auto" latinLnBrk="0" hangingPunct="1"/>
          <a:endParaRPr lang="en-ZA">
            <a:effectLst/>
          </a:endParaRPr>
        </a:p>
        <a:p>
          <a:pPr eaLnBrk="1" fontAlgn="auto" latinLnBrk="0" hangingPunct="1"/>
          <a:r>
            <a:rPr lang="en-GB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unsure if your decision about the venue was the right one but you’ve made it now. To calm your nerves, you want to make a forecast of the sales for next month. Find the profit data for the last 10 months in rows 37-46.</a:t>
          </a:r>
          <a:endParaRPr lang="en-ZA">
            <a:effectLst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</xdr:row>
          <xdr:rowOff>7620</xdr:rowOff>
        </xdr:from>
        <xdr:to>
          <xdr:col>16</xdr:col>
          <xdr:colOff>708660</xdr:colOff>
          <xdr:row>2</xdr:row>
          <xdr:rowOff>160020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</xdr:row>
          <xdr:rowOff>175260</xdr:rowOff>
        </xdr:from>
        <xdr:to>
          <xdr:col>5</xdr:col>
          <xdr:colOff>2819400</xdr:colOff>
          <xdr:row>4</xdr:row>
          <xdr:rowOff>15240</xdr:rowOff>
        </xdr:to>
        <xdr:sp macro="" textlink="">
          <xdr:nvSpPr>
            <xdr:cNvPr id="1028" name="ComboBox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152400</xdr:colOff>
      <xdr:row>24</xdr:row>
      <xdr:rowOff>144780</xdr:rowOff>
    </xdr:from>
    <xdr:to>
      <xdr:col>19</xdr:col>
      <xdr:colOff>502920</xdr:colOff>
      <xdr:row>47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E8A5A-AE2F-4FE5-BF89-C462909DD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95250</xdr:rowOff>
    </xdr:from>
    <xdr:to>
      <xdr:col>0</xdr:col>
      <xdr:colOff>233363</xdr:colOff>
      <xdr:row>28</xdr:row>
      <xdr:rowOff>95250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F82FAC7D-3A03-4E61-B50C-20D9844D4A2B}"/>
            </a:ext>
          </a:extLst>
        </xdr:cNvPr>
        <xdr:cNvCxnSpPr/>
      </xdr:nvCxnSpPr>
      <xdr:spPr>
        <a:xfrm>
          <a:off x="0" y="539877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233363</xdr:colOff>
      <xdr:row>28</xdr:row>
      <xdr:rowOff>0</xdr:rowOff>
    </xdr:from>
    <xdr:to>
      <xdr:col>1</xdr:col>
      <xdr:colOff>0</xdr:colOff>
      <xdr:row>29</xdr:row>
      <xdr:rowOff>0</xdr:rowOff>
    </xdr:to>
    <xdr:sp macro="[1]!selectNode1" textlink="">
      <xdr:nvSpPr>
        <xdr:cNvPr id="93" name="Rectangle 92">
          <a:extLst>
            <a:ext uri="{FF2B5EF4-FFF2-40B4-BE49-F238E27FC236}">
              <a16:creationId xmlns:a16="http://schemas.microsoft.com/office/drawing/2014/main" id="{45F6B240-673B-45AD-AD04-8A34774EBC73}"/>
            </a:ext>
          </a:extLst>
        </xdr:cNvPr>
        <xdr:cNvSpPr/>
      </xdr:nvSpPr>
      <xdr:spPr>
        <a:xfrm>
          <a:off x="233363" y="5303520"/>
          <a:ext cx="37623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0</xdr:colOff>
      <xdr:row>16</xdr:row>
      <xdr:rowOff>95250</xdr:rowOff>
    </xdr:from>
    <xdr:to>
      <xdr:col>3</xdr:col>
      <xdr:colOff>233363</xdr:colOff>
      <xdr:row>16</xdr:row>
      <xdr:rowOff>95250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7678D5B1-4C48-4496-9995-4727A895E0D7}"/>
            </a:ext>
          </a:extLst>
        </xdr:cNvPr>
        <xdr:cNvCxnSpPr/>
      </xdr:nvCxnSpPr>
      <xdr:spPr>
        <a:xfrm>
          <a:off x="2606040" y="320421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233363</xdr:colOff>
      <xdr:row>16</xdr:row>
      <xdr:rowOff>0</xdr:rowOff>
    </xdr:from>
    <xdr:to>
      <xdr:col>4</xdr:col>
      <xdr:colOff>0</xdr:colOff>
      <xdr:row>17</xdr:row>
      <xdr:rowOff>0</xdr:rowOff>
    </xdr:to>
    <xdr:sp macro="[1]!selectNode2" textlink="">
      <xdr:nvSpPr>
        <xdr:cNvPr id="95" name="Oval 94">
          <a:extLst>
            <a:ext uri="{FF2B5EF4-FFF2-40B4-BE49-F238E27FC236}">
              <a16:creationId xmlns:a16="http://schemas.microsoft.com/office/drawing/2014/main" id="{AC02033A-26E0-4CD5-B15C-7A9830037BF3}"/>
            </a:ext>
          </a:extLst>
        </xdr:cNvPr>
        <xdr:cNvSpPr/>
      </xdr:nvSpPr>
      <xdr:spPr>
        <a:xfrm>
          <a:off x="2839403" y="310896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16</xdr:row>
      <xdr:rowOff>95250</xdr:rowOff>
    </xdr:from>
    <xdr:to>
      <xdr:col>1</xdr:col>
      <xdr:colOff>295275</xdr:colOff>
      <xdr:row>28</xdr:row>
      <xdr:rowOff>95250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7628E177-E463-4B90-B228-80AA443F65A4}"/>
            </a:ext>
          </a:extLst>
        </xdr:cNvPr>
        <xdr:cNvCxnSpPr/>
      </xdr:nvCxnSpPr>
      <xdr:spPr>
        <a:xfrm flipV="1">
          <a:off x="609600" y="3204210"/>
          <a:ext cx="295275" cy="2194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16</xdr:row>
      <xdr:rowOff>95250</xdr:rowOff>
    </xdr:from>
    <xdr:to>
      <xdr:col>2</xdr:col>
      <xdr:colOff>0</xdr:colOff>
      <xdr:row>16</xdr:row>
      <xdr:rowOff>95250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6A461974-75D7-4B16-9CFF-E0AB55B8C7E2}"/>
            </a:ext>
          </a:extLst>
        </xdr:cNvPr>
        <xdr:cNvCxnSpPr/>
      </xdr:nvCxnSpPr>
      <xdr:spPr>
        <a:xfrm>
          <a:off x="904875" y="3204210"/>
          <a:ext cx="314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95250</xdr:rowOff>
    </xdr:from>
    <xdr:to>
      <xdr:col>3</xdr:col>
      <xdr:colOff>233363</xdr:colOff>
      <xdr:row>40</xdr:row>
      <xdr:rowOff>95250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8B27C8AC-0F86-47C7-AEA5-405344475109}"/>
            </a:ext>
          </a:extLst>
        </xdr:cNvPr>
        <xdr:cNvCxnSpPr/>
      </xdr:nvCxnSpPr>
      <xdr:spPr>
        <a:xfrm>
          <a:off x="2606040" y="759333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233363</xdr:colOff>
      <xdr:row>40</xdr:row>
      <xdr:rowOff>0</xdr:rowOff>
    </xdr:from>
    <xdr:to>
      <xdr:col>4</xdr:col>
      <xdr:colOff>0</xdr:colOff>
      <xdr:row>41</xdr:row>
      <xdr:rowOff>0</xdr:rowOff>
    </xdr:to>
    <xdr:sp macro="[1]!selectNode3" textlink="">
      <xdr:nvSpPr>
        <xdr:cNvPr id="99" name="Rectangle 98">
          <a:extLst>
            <a:ext uri="{FF2B5EF4-FFF2-40B4-BE49-F238E27FC236}">
              <a16:creationId xmlns:a16="http://schemas.microsoft.com/office/drawing/2014/main" id="{54824F3E-3F4E-4A04-9905-CC13842B58BC}"/>
            </a:ext>
          </a:extLst>
        </xdr:cNvPr>
        <xdr:cNvSpPr/>
      </xdr:nvSpPr>
      <xdr:spPr>
        <a:xfrm>
          <a:off x="2839403" y="7498080"/>
          <a:ext cx="37623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28</xdr:row>
      <xdr:rowOff>95250</xdr:rowOff>
    </xdr:from>
    <xdr:to>
      <xdr:col>1</xdr:col>
      <xdr:colOff>295275</xdr:colOff>
      <xdr:row>40</xdr:row>
      <xdr:rowOff>95250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FED69563-79D1-4D4C-A067-096DB02B21AF}"/>
            </a:ext>
          </a:extLst>
        </xdr:cNvPr>
        <xdr:cNvCxnSpPr/>
      </xdr:nvCxnSpPr>
      <xdr:spPr>
        <a:xfrm>
          <a:off x="609600" y="5398770"/>
          <a:ext cx="295275" cy="2194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40</xdr:row>
      <xdr:rowOff>95250</xdr:rowOff>
    </xdr:from>
    <xdr:to>
      <xdr:col>2</xdr:col>
      <xdr:colOff>0</xdr:colOff>
      <xdr:row>40</xdr:row>
      <xdr:rowOff>95250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9730D1EB-9978-4A61-A7A8-5261306726E4}"/>
            </a:ext>
          </a:extLst>
        </xdr:cNvPr>
        <xdr:cNvCxnSpPr/>
      </xdr:nvCxnSpPr>
      <xdr:spPr>
        <a:xfrm>
          <a:off x="904875" y="7593330"/>
          <a:ext cx="314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95250</xdr:rowOff>
    </xdr:from>
    <xdr:to>
      <xdr:col>6</xdr:col>
      <xdr:colOff>233363</xdr:colOff>
      <xdr:row>8</xdr:row>
      <xdr:rowOff>95250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26566AD5-CE31-45B3-9E9E-46E5CB27F28F}"/>
            </a:ext>
          </a:extLst>
        </xdr:cNvPr>
        <xdr:cNvCxnSpPr/>
      </xdr:nvCxnSpPr>
      <xdr:spPr>
        <a:xfrm>
          <a:off x="4427220" y="174117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8</xdr:row>
      <xdr:rowOff>0</xdr:rowOff>
    </xdr:from>
    <xdr:to>
      <xdr:col>7</xdr:col>
      <xdr:colOff>0</xdr:colOff>
      <xdr:row>9</xdr:row>
      <xdr:rowOff>0</xdr:rowOff>
    </xdr:to>
    <xdr:sp macro="[1]!selectNode4" textlink="">
      <xdr:nvSpPr>
        <xdr:cNvPr id="103" name="Rectangle 102">
          <a:extLst>
            <a:ext uri="{FF2B5EF4-FFF2-40B4-BE49-F238E27FC236}">
              <a16:creationId xmlns:a16="http://schemas.microsoft.com/office/drawing/2014/main" id="{00742D02-2246-457B-B1EA-538A846EE419}"/>
            </a:ext>
          </a:extLst>
        </xdr:cNvPr>
        <xdr:cNvSpPr/>
      </xdr:nvSpPr>
      <xdr:spPr>
        <a:xfrm>
          <a:off x="4660583" y="1645920"/>
          <a:ext cx="37623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8</xdr:row>
      <xdr:rowOff>95250</xdr:rowOff>
    </xdr:from>
    <xdr:to>
      <xdr:col>4</xdr:col>
      <xdr:colOff>304800</xdr:colOff>
      <xdr:row>16</xdr:row>
      <xdr:rowOff>95250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B8CDDF14-9D17-4AC3-B4DC-BB990F7515C8}"/>
            </a:ext>
          </a:extLst>
        </xdr:cNvPr>
        <xdr:cNvCxnSpPr/>
      </xdr:nvCxnSpPr>
      <xdr:spPr>
        <a:xfrm flipV="1">
          <a:off x="3215640" y="1741170"/>
          <a:ext cx="304800" cy="146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8</xdr:row>
      <xdr:rowOff>95250</xdr:rowOff>
    </xdr:from>
    <xdr:to>
      <xdr:col>5</xdr:col>
      <xdr:colOff>0</xdr:colOff>
      <xdr:row>8</xdr:row>
      <xdr:rowOff>95250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CAA875AC-4B90-4354-9CCD-FDC95E1790B3}"/>
            </a:ext>
          </a:extLst>
        </xdr:cNvPr>
        <xdr:cNvCxnSpPr/>
      </xdr:nvCxnSpPr>
      <xdr:spPr>
        <a:xfrm>
          <a:off x="3520440" y="174117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95250</xdr:rowOff>
    </xdr:from>
    <xdr:to>
      <xdr:col>6</xdr:col>
      <xdr:colOff>233363</xdr:colOff>
      <xdr:row>24</xdr:row>
      <xdr:rowOff>95250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BC433091-41B6-4B97-B8DC-80A4A0C4928A}"/>
            </a:ext>
          </a:extLst>
        </xdr:cNvPr>
        <xdr:cNvCxnSpPr/>
      </xdr:nvCxnSpPr>
      <xdr:spPr>
        <a:xfrm>
          <a:off x="4427220" y="46672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24</xdr:row>
      <xdr:rowOff>0</xdr:rowOff>
    </xdr:from>
    <xdr:to>
      <xdr:col>7</xdr:col>
      <xdr:colOff>0</xdr:colOff>
      <xdr:row>25</xdr:row>
      <xdr:rowOff>0</xdr:rowOff>
    </xdr:to>
    <xdr:sp macro="[1]!selectNode5" textlink="">
      <xdr:nvSpPr>
        <xdr:cNvPr id="107" name="Rectangle 106">
          <a:extLst>
            <a:ext uri="{FF2B5EF4-FFF2-40B4-BE49-F238E27FC236}">
              <a16:creationId xmlns:a16="http://schemas.microsoft.com/office/drawing/2014/main" id="{FB0F655C-C4F6-4FB2-A1A9-3E067864E3D9}"/>
            </a:ext>
          </a:extLst>
        </xdr:cNvPr>
        <xdr:cNvSpPr/>
      </xdr:nvSpPr>
      <xdr:spPr>
        <a:xfrm>
          <a:off x="4660583" y="4572000"/>
          <a:ext cx="37623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16</xdr:row>
      <xdr:rowOff>95250</xdr:rowOff>
    </xdr:from>
    <xdr:to>
      <xdr:col>4</xdr:col>
      <xdr:colOff>304800</xdr:colOff>
      <xdr:row>24</xdr:row>
      <xdr:rowOff>95250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7CBE8FD7-4D2E-4D69-9F8E-CD7406FD1835}"/>
            </a:ext>
          </a:extLst>
        </xdr:cNvPr>
        <xdr:cNvCxnSpPr/>
      </xdr:nvCxnSpPr>
      <xdr:spPr>
        <a:xfrm>
          <a:off x="3215640" y="3204210"/>
          <a:ext cx="304800" cy="146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24</xdr:row>
      <xdr:rowOff>95250</xdr:rowOff>
    </xdr:from>
    <xdr:to>
      <xdr:col>5</xdr:col>
      <xdr:colOff>0</xdr:colOff>
      <xdr:row>24</xdr:row>
      <xdr:rowOff>95250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A393A3FF-0C64-4E1F-8710-231E40B89522}"/>
            </a:ext>
          </a:extLst>
        </xdr:cNvPr>
        <xdr:cNvCxnSpPr/>
      </xdr:nvCxnSpPr>
      <xdr:spPr>
        <a:xfrm>
          <a:off x="3520440" y="46672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95250</xdr:rowOff>
    </xdr:from>
    <xdr:to>
      <xdr:col>9</xdr:col>
      <xdr:colOff>233363</xdr:colOff>
      <xdr:row>4</xdr:row>
      <xdr:rowOff>95250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7E70C00F-E659-462E-95B1-81DB0ACDD82B}"/>
            </a:ext>
          </a:extLst>
        </xdr:cNvPr>
        <xdr:cNvCxnSpPr/>
      </xdr:nvCxnSpPr>
      <xdr:spPr>
        <a:xfrm>
          <a:off x="6522720" y="10096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4</xdr:row>
      <xdr:rowOff>0</xdr:rowOff>
    </xdr:from>
    <xdr:to>
      <xdr:col>10</xdr:col>
      <xdr:colOff>0</xdr:colOff>
      <xdr:row>5</xdr:row>
      <xdr:rowOff>0</xdr:rowOff>
    </xdr:to>
    <xdr:sp macro="[1]!selectNode6" textlink="">
      <xdr:nvSpPr>
        <xdr:cNvPr id="111" name="Oval 110">
          <a:extLst>
            <a:ext uri="{FF2B5EF4-FFF2-40B4-BE49-F238E27FC236}">
              <a16:creationId xmlns:a16="http://schemas.microsoft.com/office/drawing/2014/main" id="{695120B7-EA5E-44AB-B296-8C6DCBEFD879}"/>
            </a:ext>
          </a:extLst>
        </xdr:cNvPr>
        <xdr:cNvSpPr/>
      </xdr:nvSpPr>
      <xdr:spPr>
        <a:xfrm>
          <a:off x="6756083" y="91440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4</xdr:row>
      <xdr:rowOff>95250</xdr:rowOff>
    </xdr:from>
    <xdr:to>
      <xdr:col>7</xdr:col>
      <xdr:colOff>304800</xdr:colOff>
      <xdr:row>8</xdr:row>
      <xdr:rowOff>95250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34E0FCD9-7CD7-4EC5-BD1B-545C8913A918}"/>
            </a:ext>
          </a:extLst>
        </xdr:cNvPr>
        <xdr:cNvCxnSpPr/>
      </xdr:nvCxnSpPr>
      <xdr:spPr>
        <a:xfrm flipV="1">
          <a:off x="5036820" y="100965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</xdr:row>
      <xdr:rowOff>95250</xdr:rowOff>
    </xdr:from>
    <xdr:to>
      <xdr:col>8</xdr:col>
      <xdr:colOff>0</xdr:colOff>
      <xdr:row>4</xdr:row>
      <xdr:rowOff>95250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1DA8523D-24B7-4F94-AB6E-C78CE48B2B1B}"/>
            </a:ext>
          </a:extLst>
        </xdr:cNvPr>
        <xdr:cNvCxnSpPr/>
      </xdr:nvCxnSpPr>
      <xdr:spPr>
        <a:xfrm>
          <a:off x="5341620" y="10096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95250</xdr:rowOff>
    </xdr:from>
    <xdr:to>
      <xdr:col>9</xdr:col>
      <xdr:colOff>233363</xdr:colOff>
      <xdr:row>12</xdr:row>
      <xdr:rowOff>95250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C027C1A4-B727-42A6-B901-4C1D5FB77CCA}"/>
            </a:ext>
          </a:extLst>
        </xdr:cNvPr>
        <xdr:cNvCxnSpPr/>
      </xdr:nvCxnSpPr>
      <xdr:spPr>
        <a:xfrm>
          <a:off x="6522720" y="247269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12</xdr:row>
      <xdr:rowOff>0</xdr:rowOff>
    </xdr:from>
    <xdr:to>
      <xdr:col>10</xdr:col>
      <xdr:colOff>0</xdr:colOff>
      <xdr:row>13</xdr:row>
      <xdr:rowOff>0</xdr:rowOff>
    </xdr:to>
    <xdr:sp macro="[1]!selectNode7" textlink="">
      <xdr:nvSpPr>
        <xdr:cNvPr id="115" name="Oval 114">
          <a:extLst>
            <a:ext uri="{FF2B5EF4-FFF2-40B4-BE49-F238E27FC236}">
              <a16:creationId xmlns:a16="http://schemas.microsoft.com/office/drawing/2014/main" id="{850E95E7-792E-40B9-B89C-F403236B1F87}"/>
            </a:ext>
          </a:extLst>
        </xdr:cNvPr>
        <xdr:cNvSpPr/>
      </xdr:nvSpPr>
      <xdr:spPr>
        <a:xfrm>
          <a:off x="6756083" y="237744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8</xdr:row>
      <xdr:rowOff>95250</xdr:rowOff>
    </xdr:from>
    <xdr:to>
      <xdr:col>7</xdr:col>
      <xdr:colOff>304800</xdr:colOff>
      <xdr:row>12</xdr:row>
      <xdr:rowOff>95250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66D5FB48-870B-4D23-8F53-3D54DA0D756B}"/>
            </a:ext>
          </a:extLst>
        </xdr:cNvPr>
        <xdr:cNvCxnSpPr/>
      </xdr:nvCxnSpPr>
      <xdr:spPr>
        <a:xfrm>
          <a:off x="5036820" y="174117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12</xdr:row>
      <xdr:rowOff>95250</xdr:rowOff>
    </xdr:from>
    <xdr:to>
      <xdr:col>8</xdr:col>
      <xdr:colOff>0</xdr:colOff>
      <xdr:row>12</xdr:row>
      <xdr:rowOff>95250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D6ACD778-5103-4215-80CB-987C54CF958E}"/>
            </a:ext>
          </a:extLst>
        </xdr:cNvPr>
        <xdr:cNvCxnSpPr/>
      </xdr:nvCxnSpPr>
      <xdr:spPr>
        <a:xfrm>
          <a:off x="5341620" y="247269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95250</xdr:rowOff>
    </xdr:from>
    <xdr:to>
      <xdr:col>9</xdr:col>
      <xdr:colOff>233363</xdr:colOff>
      <xdr:row>20</xdr:row>
      <xdr:rowOff>95250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5799A773-DA92-4F32-8E33-595BD6764A1C}"/>
            </a:ext>
          </a:extLst>
        </xdr:cNvPr>
        <xdr:cNvCxnSpPr/>
      </xdr:nvCxnSpPr>
      <xdr:spPr>
        <a:xfrm>
          <a:off x="6522720" y="393573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20</xdr:row>
      <xdr:rowOff>0</xdr:rowOff>
    </xdr:from>
    <xdr:to>
      <xdr:col>10</xdr:col>
      <xdr:colOff>0</xdr:colOff>
      <xdr:row>21</xdr:row>
      <xdr:rowOff>0</xdr:rowOff>
    </xdr:to>
    <xdr:sp macro="[1]!selectNode8" textlink="">
      <xdr:nvSpPr>
        <xdr:cNvPr id="119" name="Oval 118">
          <a:extLst>
            <a:ext uri="{FF2B5EF4-FFF2-40B4-BE49-F238E27FC236}">
              <a16:creationId xmlns:a16="http://schemas.microsoft.com/office/drawing/2014/main" id="{2CDEAA88-4160-4A0E-A075-15E39764CC0F}"/>
            </a:ext>
          </a:extLst>
        </xdr:cNvPr>
        <xdr:cNvSpPr/>
      </xdr:nvSpPr>
      <xdr:spPr>
        <a:xfrm>
          <a:off x="6756083" y="384048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20</xdr:row>
      <xdr:rowOff>95250</xdr:rowOff>
    </xdr:from>
    <xdr:to>
      <xdr:col>7</xdr:col>
      <xdr:colOff>304800</xdr:colOff>
      <xdr:row>24</xdr:row>
      <xdr:rowOff>95250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BDF1EF22-A111-4999-8301-854CBE555297}"/>
            </a:ext>
          </a:extLst>
        </xdr:cNvPr>
        <xdr:cNvCxnSpPr/>
      </xdr:nvCxnSpPr>
      <xdr:spPr>
        <a:xfrm flipV="1">
          <a:off x="5036820" y="393573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20</xdr:row>
      <xdr:rowOff>95250</xdr:rowOff>
    </xdr:from>
    <xdr:to>
      <xdr:col>8</xdr:col>
      <xdr:colOff>0</xdr:colOff>
      <xdr:row>20</xdr:row>
      <xdr:rowOff>95250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847D763C-B575-47DC-BF87-618EAEE984F8}"/>
            </a:ext>
          </a:extLst>
        </xdr:cNvPr>
        <xdr:cNvCxnSpPr/>
      </xdr:nvCxnSpPr>
      <xdr:spPr>
        <a:xfrm>
          <a:off x="5341620" y="393573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28</xdr:row>
      <xdr:rowOff>95250</xdr:rowOff>
    </xdr:from>
    <xdr:to>
      <xdr:col>9</xdr:col>
      <xdr:colOff>233363</xdr:colOff>
      <xdr:row>28</xdr:row>
      <xdr:rowOff>95250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AD77A0FD-29D6-4701-BA55-F04C22CAF3A4}"/>
            </a:ext>
          </a:extLst>
        </xdr:cNvPr>
        <xdr:cNvCxnSpPr/>
      </xdr:nvCxnSpPr>
      <xdr:spPr>
        <a:xfrm>
          <a:off x="6522720" y="539877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28</xdr:row>
      <xdr:rowOff>0</xdr:rowOff>
    </xdr:from>
    <xdr:to>
      <xdr:col>10</xdr:col>
      <xdr:colOff>0</xdr:colOff>
      <xdr:row>29</xdr:row>
      <xdr:rowOff>0</xdr:rowOff>
    </xdr:to>
    <xdr:sp macro="[1]!selectNode9" textlink="">
      <xdr:nvSpPr>
        <xdr:cNvPr id="123" name="Oval 122">
          <a:extLst>
            <a:ext uri="{FF2B5EF4-FFF2-40B4-BE49-F238E27FC236}">
              <a16:creationId xmlns:a16="http://schemas.microsoft.com/office/drawing/2014/main" id="{9F027B35-3361-4CDA-9C99-92432A4923E8}"/>
            </a:ext>
          </a:extLst>
        </xdr:cNvPr>
        <xdr:cNvSpPr/>
      </xdr:nvSpPr>
      <xdr:spPr>
        <a:xfrm>
          <a:off x="6756083" y="530352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24</xdr:row>
      <xdr:rowOff>95250</xdr:rowOff>
    </xdr:from>
    <xdr:to>
      <xdr:col>7</xdr:col>
      <xdr:colOff>304800</xdr:colOff>
      <xdr:row>28</xdr:row>
      <xdr:rowOff>95250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5066B328-647C-4070-8822-10B77A8764D0}"/>
            </a:ext>
          </a:extLst>
        </xdr:cNvPr>
        <xdr:cNvCxnSpPr/>
      </xdr:nvCxnSpPr>
      <xdr:spPr>
        <a:xfrm>
          <a:off x="5036820" y="466725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28</xdr:row>
      <xdr:rowOff>95250</xdr:rowOff>
    </xdr:from>
    <xdr:to>
      <xdr:col>8</xdr:col>
      <xdr:colOff>0</xdr:colOff>
      <xdr:row>28</xdr:row>
      <xdr:rowOff>95250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50520041-33CD-43A1-B22D-1517CD104839}"/>
            </a:ext>
          </a:extLst>
        </xdr:cNvPr>
        <xdr:cNvCxnSpPr/>
      </xdr:nvCxnSpPr>
      <xdr:spPr>
        <a:xfrm>
          <a:off x="5341620" y="539877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95250</xdr:rowOff>
    </xdr:from>
    <xdr:to>
      <xdr:col>12</xdr:col>
      <xdr:colOff>140018</xdr:colOff>
      <xdr:row>2</xdr:row>
      <xdr:rowOff>95250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CED1A586-B414-40F1-95DB-9BA082442AEB}"/>
            </a:ext>
          </a:extLst>
        </xdr:cNvPr>
        <xdr:cNvCxnSpPr/>
      </xdr:nvCxnSpPr>
      <xdr:spPr>
        <a:xfrm>
          <a:off x="8618220" y="64389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1</xdr:row>
      <xdr:rowOff>115729</xdr:rowOff>
    </xdr:from>
    <xdr:to>
      <xdr:col>13</xdr:col>
      <xdr:colOff>57597</xdr:colOff>
      <xdr:row>3</xdr:row>
      <xdr:rowOff>20479</xdr:rowOff>
    </xdr:to>
    <xdr:sp macro="[1]!selectNode10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7D54C0A9-33E3-44D9-BA78-C97797EF306D}"/>
            </a:ext>
          </a:extLst>
        </xdr:cNvPr>
        <xdr:cNvSpPr/>
      </xdr:nvSpPr>
      <xdr:spPr>
        <a:xfrm rot="16200000">
          <a:off x="8915371" y="381953"/>
          <a:ext cx="270510" cy="46958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</xdr:row>
      <xdr:rowOff>95250</xdr:rowOff>
    </xdr:from>
    <xdr:to>
      <xdr:col>10</xdr:col>
      <xdr:colOff>304800</xdr:colOff>
      <xdr:row>4</xdr:row>
      <xdr:rowOff>95250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97412874-917E-48F4-949F-71FFBB0F6A0A}"/>
            </a:ext>
          </a:extLst>
        </xdr:cNvPr>
        <xdr:cNvCxnSpPr/>
      </xdr:nvCxnSpPr>
      <xdr:spPr>
        <a:xfrm flipV="1">
          <a:off x="7132320" y="64389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</xdr:row>
      <xdr:rowOff>95250</xdr:rowOff>
    </xdr:from>
    <xdr:to>
      <xdr:col>11</xdr:col>
      <xdr:colOff>0</xdr:colOff>
      <xdr:row>2</xdr:row>
      <xdr:rowOff>95250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C6BE6B98-505F-4C9C-820C-27DAD2F9C66E}"/>
            </a:ext>
          </a:extLst>
        </xdr:cNvPr>
        <xdr:cNvCxnSpPr/>
      </xdr:nvCxnSpPr>
      <xdr:spPr>
        <a:xfrm>
          <a:off x="7437120" y="64389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95250</xdr:rowOff>
    </xdr:from>
    <xdr:to>
      <xdr:col>12</xdr:col>
      <xdr:colOff>140018</xdr:colOff>
      <xdr:row>6</xdr:row>
      <xdr:rowOff>95250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64FCA0C0-05ED-4244-BEC6-8A56ABAA6B35}"/>
            </a:ext>
          </a:extLst>
        </xdr:cNvPr>
        <xdr:cNvCxnSpPr/>
      </xdr:nvCxnSpPr>
      <xdr:spPr>
        <a:xfrm>
          <a:off x="8618220" y="137541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195615</xdr:colOff>
      <xdr:row>5</xdr:row>
      <xdr:rowOff>115729</xdr:rowOff>
    </xdr:from>
    <xdr:to>
      <xdr:col>13</xdr:col>
      <xdr:colOff>55598</xdr:colOff>
      <xdr:row>7</xdr:row>
      <xdr:rowOff>20479</xdr:rowOff>
    </xdr:to>
    <xdr:sp macro="[1]!selectNode11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E15CD426-49CF-469F-9BBC-E05BD8EE2733}"/>
            </a:ext>
          </a:extLst>
        </xdr:cNvPr>
        <xdr:cNvSpPr/>
      </xdr:nvSpPr>
      <xdr:spPr>
        <a:xfrm rot="16200000">
          <a:off x="8913372" y="1113472"/>
          <a:ext cx="270510" cy="46958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4</xdr:row>
      <xdr:rowOff>95250</xdr:rowOff>
    </xdr:from>
    <xdr:to>
      <xdr:col>10</xdr:col>
      <xdr:colOff>304800</xdr:colOff>
      <xdr:row>6</xdr:row>
      <xdr:rowOff>95250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C7D3C7F8-4823-49DC-B451-532C94E22306}"/>
            </a:ext>
          </a:extLst>
        </xdr:cNvPr>
        <xdr:cNvCxnSpPr/>
      </xdr:nvCxnSpPr>
      <xdr:spPr>
        <a:xfrm>
          <a:off x="7132320" y="100965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</xdr:row>
      <xdr:rowOff>95250</xdr:rowOff>
    </xdr:from>
    <xdr:to>
      <xdr:col>11</xdr:col>
      <xdr:colOff>0</xdr:colOff>
      <xdr:row>6</xdr:row>
      <xdr:rowOff>95250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F35BD13A-C328-40B6-A0D5-F61F5B5FD3DC}"/>
            </a:ext>
          </a:extLst>
        </xdr:cNvPr>
        <xdr:cNvCxnSpPr/>
      </xdr:nvCxnSpPr>
      <xdr:spPr>
        <a:xfrm>
          <a:off x="7437120" y="137541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95250</xdr:rowOff>
    </xdr:from>
    <xdr:to>
      <xdr:col>12</xdr:col>
      <xdr:colOff>140018</xdr:colOff>
      <xdr:row>18</xdr:row>
      <xdr:rowOff>95250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A57BC72F-B7CD-480E-A65A-834F97D15BFA}"/>
            </a:ext>
          </a:extLst>
        </xdr:cNvPr>
        <xdr:cNvCxnSpPr/>
      </xdr:nvCxnSpPr>
      <xdr:spPr>
        <a:xfrm>
          <a:off x="8618220" y="356997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17</xdr:row>
      <xdr:rowOff>115729</xdr:rowOff>
    </xdr:from>
    <xdr:to>
      <xdr:col>13</xdr:col>
      <xdr:colOff>57598</xdr:colOff>
      <xdr:row>19</xdr:row>
      <xdr:rowOff>20479</xdr:rowOff>
    </xdr:to>
    <xdr:sp macro="[1]!selectNode12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812F03E7-4958-4293-895E-D1768EE26A53}"/>
            </a:ext>
          </a:extLst>
        </xdr:cNvPr>
        <xdr:cNvSpPr/>
      </xdr:nvSpPr>
      <xdr:spPr>
        <a:xfrm rot="16200000">
          <a:off x="8915372" y="3308032"/>
          <a:ext cx="270510" cy="46958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18</xdr:row>
      <xdr:rowOff>95250</xdr:rowOff>
    </xdr:from>
    <xdr:to>
      <xdr:col>10</xdr:col>
      <xdr:colOff>304800</xdr:colOff>
      <xdr:row>20</xdr:row>
      <xdr:rowOff>95250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75026583-7FCC-4701-A17D-963EF9350C86}"/>
            </a:ext>
          </a:extLst>
        </xdr:cNvPr>
        <xdr:cNvCxnSpPr/>
      </xdr:nvCxnSpPr>
      <xdr:spPr>
        <a:xfrm flipV="1">
          <a:off x="7132320" y="356997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18</xdr:row>
      <xdr:rowOff>95250</xdr:rowOff>
    </xdr:from>
    <xdr:to>
      <xdr:col>11</xdr:col>
      <xdr:colOff>0</xdr:colOff>
      <xdr:row>18</xdr:row>
      <xdr:rowOff>95250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665D3C3D-4B63-4396-B629-9777E3828932}"/>
            </a:ext>
          </a:extLst>
        </xdr:cNvPr>
        <xdr:cNvCxnSpPr/>
      </xdr:nvCxnSpPr>
      <xdr:spPr>
        <a:xfrm>
          <a:off x="7437120" y="356997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95250</xdr:rowOff>
    </xdr:from>
    <xdr:to>
      <xdr:col>12</xdr:col>
      <xdr:colOff>140018</xdr:colOff>
      <xdr:row>22</xdr:row>
      <xdr:rowOff>95250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66C5E9E1-8CD4-491B-93FB-14340B0AD51F}"/>
            </a:ext>
          </a:extLst>
        </xdr:cNvPr>
        <xdr:cNvCxnSpPr/>
      </xdr:nvCxnSpPr>
      <xdr:spPr>
        <a:xfrm>
          <a:off x="8618220" y="430149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21</xdr:row>
      <xdr:rowOff>115729</xdr:rowOff>
    </xdr:from>
    <xdr:to>
      <xdr:col>13</xdr:col>
      <xdr:colOff>57598</xdr:colOff>
      <xdr:row>23</xdr:row>
      <xdr:rowOff>20479</xdr:rowOff>
    </xdr:to>
    <xdr:sp macro="[1]!selectNode13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E9A8C5A0-2A51-444D-9556-58326E088F1E}"/>
            </a:ext>
          </a:extLst>
        </xdr:cNvPr>
        <xdr:cNvSpPr/>
      </xdr:nvSpPr>
      <xdr:spPr>
        <a:xfrm rot="16200000">
          <a:off x="8915372" y="4039552"/>
          <a:ext cx="270510" cy="46958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20</xdr:row>
      <xdr:rowOff>95250</xdr:rowOff>
    </xdr:from>
    <xdr:to>
      <xdr:col>10</xdr:col>
      <xdr:colOff>304800</xdr:colOff>
      <xdr:row>22</xdr:row>
      <xdr:rowOff>95250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A5FC8C5B-4CB6-4EAA-BE7C-C0D69624D88C}"/>
            </a:ext>
          </a:extLst>
        </xdr:cNvPr>
        <xdr:cNvCxnSpPr/>
      </xdr:nvCxnSpPr>
      <xdr:spPr>
        <a:xfrm>
          <a:off x="7132320" y="393573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22</xdr:row>
      <xdr:rowOff>95250</xdr:rowOff>
    </xdr:from>
    <xdr:to>
      <xdr:col>11</xdr:col>
      <xdr:colOff>0</xdr:colOff>
      <xdr:row>22</xdr:row>
      <xdr:rowOff>95250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6C9B1ABC-C547-40D6-8B70-E028D83920E3}"/>
            </a:ext>
          </a:extLst>
        </xdr:cNvPr>
        <xdr:cNvCxnSpPr/>
      </xdr:nvCxnSpPr>
      <xdr:spPr>
        <a:xfrm>
          <a:off x="7437120" y="430149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</xdr:row>
      <xdr:rowOff>95250</xdr:rowOff>
    </xdr:from>
    <xdr:to>
      <xdr:col>12</xdr:col>
      <xdr:colOff>140018</xdr:colOff>
      <xdr:row>10</xdr:row>
      <xdr:rowOff>95250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19E097B9-38F4-4D37-8F2C-956F845A2019}"/>
            </a:ext>
          </a:extLst>
        </xdr:cNvPr>
        <xdr:cNvCxnSpPr/>
      </xdr:nvCxnSpPr>
      <xdr:spPr>
        <a:xfrm>
          <a:off x="8618220" y="210693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9</xdr:row>
      <xdr:rowOff>115729</xdr:rowOff>
    </xdr:from>
    <xdr:to>
      <xdr:col>13</xdr:col>
      <xdr:colOff>57598</xdr:colOff>
      <xdr:row>11</xdr:row>
      <xdr:rowOff>20479</xdr:rowOff>
    </xdr:to>
    <xdr:sp macro="[1]!selectNode14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537CE4C7-AA92-49B3-AA33-FEF96C7207A7}"/>
            </a:ext>
          </a:extLst>
        </xdr:cNvPr>
        <xdr:cNvSpPr/>
      </xdr:nvSpPr>
      <xdr:spPr>
        <a:xfrm rot="16200000">
          <a:off x="8915372" y="1844992"/>
          <a:ext cx="270510" cy="46958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10</xdr:row>
      <xdr:rowOff>95250</xdr:rowOff>
    </xdr:from>
    <xdr:to>
      <xdr:col>10</xdr:col>
      <xdr:colOff>304800</xdr:colOff>
      <xdr:row>12</xdr:row>
      <xdr:rowOff>95250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C7FE6E63-C149-485B-BBC7-F7C33F3EBC0F}"/>
            </a:ext>
          </a:extLst>
        </xdr:cNvPr>
        <xdr:cNvCxnSpPr/>
      </xdr:nvCxnSpPr>
      <xdr:spPr>
        <a:xfrm flipV="1">
          <a:off x="7132320" y="210693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10</xdr:row>
      <xdr:rowOff>95250</xdr:rowOff>
    </xdr:from>
    <xdr:to>
      <xdr:col>11</xdr:col>
      <xdr:colOff>0</xdr:colOff>
      <xdr:row>10</xdr:row>
      <xdr:rowOff>95250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82C1CBCF-5593-4B1A-94DF-4E3C3B143E15}"/>
            </a:ext>
          </a:extLst>
        </xdr:cNvPr>
        <xdr:cNvCxnSpPr/>
      </xdr:nvCxnSpPr>
      <xdr:spPr>
        <a:xfrm>
          <a:off x="7437120" y="210693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95250</xdr:rowOff>
    </xdr:from>
    <xdr:to>
      <xdr:col>12</xdr:col>
      <xdr:colOff>140018</xdr:colOff>
      <xdr:row>14</xdr:row>
      <xdr:rowOff>95250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48D6552B-A203-44B7-8DD5-C80B96B20AC5}"/>
            </a:ext>
          </a:extLst>
        </xdr:cNvPr>
        <xdr:cNvCxnSpPr/>
      </xdr:nvCxnSpPr>
      <xdr:spPr>
        <a:xfrm>
          <a:off x="8618220" y="28384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13</xdr:row>
      <xdr:rowOff>115729</xdr:rowOff>
    </xdr:from>
    <xdr:to>
      <xdr:col>13</xdr:col>
      <xdr:colOff>57598</xdr:colOff>
      <xdr:row>15</xdr:row>
      <xdr:rowOff>20479</xdr:rowOff>
    </xdr:to>
    <xdr:sp macro="[1]!selectNode15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D364B270-42C3-44AD-A45E-4E333658FC9C}"/>
            </a:ext>
          </a:extLst>
        </xdr:cNvPr>
        <xdr:cNvSpPr/>
      </xdr:nvSpPr>
      <xdr:spPr>
        <a:xfrm rot="16200000">
          <a:off x="8915372" y="2576512"/>
          <a:ext cx="270510" cy="46958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12</xdr:row>
      <xdr:rowOff>95250</xdr:rowOff>
    </xdr:from>
    <xdr:to>
      <xdr:col>10</xdr:col>
      <xdr:colOff>304800</xdr:colOff>
      <xdr:row>14</xdr:row>
      <xdr:rowOff>95250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12D296AD-471E-4C42-B743-1ED1F48E1905}"/>
            </a:ext>
          </a:extLst>
        </xdr:cNvPr>
        <xdr:cNvCxnSpPr/>
      </xdr:nvCxnSpPr>
      <xdr:spPr>
        <a:xfrm>
          <a:off x="7132320" y="247269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14</xdr:row>
      <xdr:rowOff>95250</xdr:rowOff>
    </xdr:from>
    <xdr:to>
      <xdr:col>11</xdr:col>
      <xdr:colOff>0</xdr:colOff>
      <xdr:row>14</xdr:row>
      <xdr:rowOff>95250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F9A035E-9842-4356-9D5A-82949062103D}"/>
            </a:ext>
          </a:extLst>
        </xdr:cNvPr>
        <xdr:cNvCxnSpPr/>
      </xdr:nvCxnSpPr>
      <xdr:spPr>
        <a:xfrm>
          <a:off x="7437120" y="28384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26</xdr:row>
      <xdr:rowOff>95250</xdr:rowOff>
    </xdr:from>
    <xdr:to>
      <xdr:col>12</xdr:col>
      <xdr:colOff>140018</xdr:colOff>
      <xdr:row>26</xdr:row>
      <xdr:rowOff>95250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7635ABB4-4F65-44EE-BD32-6C81C2CE8C1A}"/>
            </a:ext>
          </a:extLst>
        </xdr:cNvPr>
        <xdr:cNvCxnSpPr/>
      </xdr:nvCxnSpPr>
      <xdr:spPr>
        <a:xfrm>
          <a:off x="8618220" y="503301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25</xdr:row>
      <xdr:rowOff>115729</xdr:rowOff>
    </xdr:from>
    <xdr:to>
      <xdr:col>13</xdr:col>
      <xdr:colOff>57598</xdr:colOff>
      <xdr:row>27</xdr:row>
      <xdr:rowOff>20479</xdr:rowOff>
    </xdr:to>
    <xdr:sp macro="[1]!selectNode16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97F6B652-60B7-4298-B534-67858C686619}"/>
            </a:ext>
          </a:extLst>
        </xdr:cNvPr>
        <xdr:cNvSpPr/>
      </xdr:nvSpPr>
      <xdr:spPr>
        <a:xfrm rot="16200000">
          <a:off x="8915372" y="4771072"/>
          <a:ext cx="270510" cy="46958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26</xdr:row>
      <xdr:rowOff>95250</xdr:rowOff>
    </xdr:from>
    <xdr:to>
      <xdr:col>10</xdr:col>
      <xdr:colOff>304800</xdr:colOff>
      <xdr:row>28</xdr:row>
      <xdr:rowOff>95250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689149A7-9BA7-4428-999C-A2C898496099}"/>
            </a:ext>
          </a:extLst>
        </xdr:cNvPr>
        <xdr:cNvCxnSpPr/>
      </xdr:nvCxnSpPr>
      <xdr:spPr>
        <a:xfrm flipV="1">
          <a:off x="7132320" y="503301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26</xdr:row>
      <xdr:rowOff>95250</xdr:rowOff>
    </xdr:from>
    <xdr:to>
      <xdr:col>11</xdr:col>
      <xdr:colOff>0</xdr:colOff>
      <xdr:row>26</xdr:row>
      <xdr:rowOff>95250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B9A65C1B-10FF-46B1-ACA2-AC2DED0AEFF7}"/>
            </a:ext>
          </a:extLst>
        </xdr:cNvPr>
        <xdr:cNvCxnSpPr/>
      </xdr:nvCxnSpPr>
      <xdr:spPr>
        <a:xfrm>
          <a:off x="7437120" y="503301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95250</xdr:rowOff>
    </xdr:from>
    <xdr:to>
      <xdr:col>12</xdr:col>
      <xdr:colOff>140018</xdr:colOff>
      <xdr:row>30</xdr:row>
      <xdr:rowOff>95250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EAE0255C-B428-4A0C-96E1-B74EC4AB9B86}"/>
            </a:ext>
          </a:extLst>
        </xdr:cNvPr>
        <xdr:cNvCxnSpPr/>
      </xdr:nvCxnSpPr>
      <xdr:spPr>
        <a:xfrm>
          <a:off x="8618220" y="576453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29</xdr:row>
      <xdr:rowOff>115729</xdr:rowOff>
    </xdr:from>
    <xdr:to>
      <xdr:col>13</xdr:col>
      <xdr:colOff>57597</xdr:colOff>
      <xdr:row>31</xdr:row>
      <xdr:rowOff>20479</xdr:rowOff>
    </xdr:to>
    <xdr:sp macro="[1]!selectNode17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ABCA4C00-1C02-4E82-8FC9-83B1D3C24C2E}"/>
            </a:ext>
          </a:extLst>
        </xdr:cNvPr>
        <xdr:cNvSpPr/>
      </xdr:nvSpPr>
      <xdr:spPr>
        <a:xfrm rot="16200000">
          <a:off x="8915371" y="5502593"/>
          <a:ext cx="270510" cy="46958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28</xdr:row>
      <xdr:rowOff>95250</xdr:rowOff>
    </xdr:from>
    <xdr:to>
      <xdr:col>10</xdr:col>
      <xdr:colOff>304800</xdr:colOff>
      <xdr:row>30</xdr:row>
      <xdr:rowOff>95250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679A5818-F2A7-4D94-A0E7-77B24D47721F}"/>
            </a:ext>
          </a:extLst>
        </xdr:cNvPr>
        <xdr:cNvCxnSpPr/>
      </xdr:nvCxnSpPr>
      <xdr:spPr>
        <a:xfrm>
          <a:off x="7132320" y="539877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30</xdr:row>
      <xdr:rowOff>95250</xdr:rowOff>
    </xdr:from>
    <xdr:to>
      <xdr:col>11</xdr:col>
      <xdr:colOff>0</xdr:colOff>
      <xdr:row>30</xdr:row>
      <xdr:rowOff>95250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E07F5A99-FDF8-4B6E-91A7-1D061F6AF5B0}"/>
            </a:ext>
          </a:extLst>
        </xdr:cNvPr>
        <xdr:cNvCxnSpPr/>
      </xdr:nvCxnSpPr>
      <xdr:spPr>
        <a:xfrm>
          <a:off x="7437120" y="576453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</xdr:row>
      <xdr:rowOff>95250</xdr:rowOff>
    </xdr:from>
    <xdr:to>
      <xdr:col>6</xdr:col>
      <xdr:colOff>233363</xdr:colOff>
      <xdr:row>36</xdr:row>
      <xdr:rowOff>95250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0927A8AC-B674-4B15-9D9F-E2AD9D048880}"/>
            </a:ext>
          </a:extLst>
        </xdr:cNvPr>
        <xdr:cNvCxnSpPr/>
      </xdr:nvCxnSpPr>
      <xdr:spPr>
        <a:xfrm>
          <a:off x="4427220" y="686181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36</xdr:row>
      <xdr:rowOff>0</xdr:rowOff>
    </xdr:from>
    <xdr:to>
      <xdr:col>7</xdr:col>
      <xdr:colOff>0</xdr:colOff>
      <xdr:row>37</xdr:row>
      <xdr:rowOff>0</xdr:rowOff>
    </xdr:to>
    <xdr:sp macro="[1]!selectNode18" textlink="">
      <xdr:nvSpPr>
        <xdr:cNvPr id="159" name="Oval 158">
          <a:extLst>
            <a:ext uri="{FF2B5EF4-FFF2-40B4-BE49-F238E27FC236}">
              <a16:creationId xmlns:a16="http://schemas.microsoft.com/office/drawing/2014/main" id="{DEE8A86E-247B-4C90-A6D7-809A95DEB6CC}"/>
            </a:ext>
          </a:extLst>
        </xdr:cNvPr>
        <xdr:cNvSpPr/>
      </xdr:nvSpPr>
      <xdr:spPr>
        <a:xfrm>
          <a:off x="4660583" y="676656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36</xdr:row>
      <xdr:rowOff>95250</xdr:rowOff>
    </xdr:from>
    <xdr:to>
      <xdr:col>4</xdr:col>
      <xdr:colOff>304800</xdr:colOff>
      <xdr:row>40</xdr:row>
      <xdr:rowOff>95250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26363E5-95A5-49B1-8DDD-C46A8707C180}"/>
            </a:ext>
          </a:extLst>
        </xdr:cNvPr>
        <xdr:cNvCxnSpPr/>
      </xdr:nvCxnSpPr>
      <xdr:spPr>
        <a:xfrm flipV="1">
          <a:off x="3215640" y="686181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36</xdr:row>
      <xdr:rowOff>95250</xdr:rowOff>
    </xdr:from>
    <xdr:to>
      <xdr:col>5</xdr:col>
      <xdr:colOff>0</xdr:colOff>
      <xdr:row>36</xdr:row>
      <xdr:rowOff>95250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AA89AE1A-2F3F-47DF-88D5-A5A5810A6642}"/>
            </a:ext>
          </a:extLst>
        </xdr:cNvPr>
        <xdr:cNvCxnSpPr/>
      </xdr:nvCxnSpPr>
      <xdr:spPr>
        <a:xfrm>
          <a:off x="3520440" y="686181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95250</xdr:rowOff>
    </xdr:from>
    <xdr:to>
      <xdr:col>6</xdr:col>
      <xdr:colOff>233363</xdr:colOff>
      <xdr:row>44</xdr:row>
      <xdr:rowOff>95250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92EB5493-3D45-4962-9046-E3992C2117AF}"/>
            </a:ext>
          </a:extLst>
        </xdr:cNvPr>
        <xdr:cNvCxnSpPr/>
      </xdr:nvCxnSpPr>
      <xdr:spPr>
        <a:xfrm>
          <a:off x="4427220" y="83248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44</xdr:row>
      <xdr:rowOff>0</xdr:rowOff>
    </xdr:from>
    <xdr:to>
      <xdr:col>7</xdr:col>
      <xdr:colOff>0</xdr:colOff>
      <xdr:row>45</xdr:row>
      <xdr:rowOff>0</xdr:rowOff>
    </xdr:to>
    <xdr:sp macro="[1]!selectNode19" textlink="">
      <xdr:nvSpPr>
        <xdr:cNvPr id="163" name="Oval 162">
          <a:extLst>
            <a:ext uri="{FF2B5EF4-FFF2-40B4-BE49-F238E27FC236}">
              <a16:creationId xmlns:a16="http://schemas.microsoft.com/office/drawing/2014/main" id="{D81E70A9-4507-472A-9955-13D972CE2F12}"/>
            </a:ext>
          </a:extLst>
        </xdr:cNvPr>
        <xdr:cNvSpPr/>
      </xdr:nvSpPr>
      <xdr:spPr>
        <a:xfrm>
          <a:off x="4660583" y="8229600"/>
          <a:ext cx="37623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40</xdr:row>
      <xdr:rowOff>95250</xdr:rowOff>
    </xdr:from>
    <xdr:to>
      <xdr:col>4</xdr:col>
      <xdr:colOff>304800</xdr:colOff>
      <xdr:row>44</xdr:row>
      <xdr:rowOff>95250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11900D09-6918-4CC1-8D03-A0AB16ACB0F8}"/>
            </a:ext>
          </a:extLst>
        </xdr:cNvPr>
        <xdr:cNvCxnSpPr/>
      </xdr:nvCxnSpPr>
      <xdr:spPr>
        <a:xfrm>
          <a:off x="3215640" y="759333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44</xdr:row>
      <xdr:rowOff>95250</xdr:rowOff>
    </xdr:from>
    <xdr:to>
      <xdr:col>5</xdr:col>
      <xdr:colOff>0</xdr:colOff>
      <xdr:row>44</xdr:row>
      <xdr:rowOff>95250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F1B86284-45E0-419F-92DF-7BCDDE84E35F}"/>
            </a:ext>
          </a:extLst>
        </xdr:cNvPr>
        <xdr:cNvCxnSpPr/>
      </xdr:nvCxnSpPr>
      <xdr:spPr>
        <a:xfrm>
          <a:off x="3520440" y="83248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34</xdr:row>
      <xdr:rowOff>95250</xdr:rowOff>
    </xdr:from>
    <xdr:to>
      <xdr:col>9</xdr:col>
      <xdr:colOff>140017</xdr:colOff>
      <xdr:row>34</xdr:row>
      <xdr:rowOff>95250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C6FCE87E-3487-4E73-B63D-AA8882FE890F}"/>
            </a:ext>
          </a:extLst>
        </xdr:cNvPr>
        <xdr:cNvCxnSpPr/>
      </xdr:nvCxnSpPr>
      <xdr:spPr>
        <a:xfrm>
          <a:off x="6522720" y="649605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33</xdr:row>
      <xdr:rowOff>115729</xdr:rowOff>
    </xdr:from>
    <xdr:to>
      <xdr:col>10</xdr:col>
      <xdr:colOff>39404</xdr:colOff>
      <xdr:row>35</xdr:row>
      <xdr:rowOff>20479</xdr:rowOff>
    </xdr:to>
    <xdr:sp macro="[1]!selectNode20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CDF116F0-E4BD-43EF-943F-90E397F601BC}"/>
            </a:ext>
          </a:extLst>
        </xdr:cNvPr>
        <xdr:cNvSpPr/>
      </xdr:nvSpPr>
      <xdr:spPr>
        <a:xfrm rot="16200000">
          <a:off x="6801678" y="6234113"/>
          <a:ext cx="270510" cy="46958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34</xdr:row>
      <xdr:rowOff>95250</xdr:rowOff>
    </xdr:from>
    <xdr:to>
      <xdr:col>7</xdr:col>
      <xdr:colOff>304800</xdr:colOff>
      <xdr:row>36</xdr:row>
      <xdr:rowOff>95250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9A7950EA-C764-48F0-BE14-28A0E2CB4D8B}"/>
            </a:ext>
          </a:extLst>
        </xdr:cNvPr>
        <xdr:cNvCxnSpPr/>
      </xdr:nvCxnSpPr>
      <xdr:spPr>
        <a:xfrm flipV="1">
          <a:off x="5036820" y="649605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34</xdr:row>
      <xdr:rowOff>95250</xdr:rowOff>
    </xdr:from>
    <xdr:to>
      <xdr:col>8</xdr:col>
      <xdr:colOff>0</xdr:colOff>
      <xdr:row>34</xdr:row>
      <xdr:rowOff>95250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4CA2BCC8-9CB0-4FD0-9737-1770AC915C80}"/>
            </a:ext>
          </a:extLst>
        </xdr:cNvPr>
        <xdr:cNvCxnSpPr/>
      </xdr:nvCxnSpPr>
      <xdr:spPr>
        <a:xfrm>
          <a:off x="5341620" y="64960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38</xdr:row>
      <xdr:rowOff>95250</xdr:rowOff>
    </xdr:from>
    <xdr:to>
      <xdr:col>9</xdr:col>
      <xdr:colOff>140017</xdr:colOff>
      <xdr:row>38</xdr:row>
      <xdr:rowOff>95250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D7CB3AC2-CB7F-4CA5-93AF-A794E17E8CFA}"/>
            </a:ext>
          </a:extLst>
        </xdr:cNvPr>
        <xdr:cNvCxnSpPr/>
      </xdr:nvCxnSpPr>
      <xdr:spPr>
        <a:xfrm>
          <a:off x="6522720" y="722757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37</xdr:row>
      <xdr:rowOff>115729</xdr:rowOff>
    </xdr:from>
    <xdr:to>
      <xdr:col>10</xdr:col>
      <xdr:colOff>39404</xdr:colOff>
      <xdr:row>39</xdr:row>
      <xdr:rowOff>20479</xdr:rowOff>
    </xdr:to>
    <xdr:sp macro="[1]!selectNode21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1C1B82F1-4404-443C-87F4-473DC20647E0}"/>
            </a:ext>
          </a:extLst>
        </xdr:cNvPr>
        <xdr:cNvSpPr/>
      </xdr:nvSpPr>
      <xdr:spPr>
        <a:xfrm rot="16200000">
          <a:off x="6801678" y="6965633"/>
          <a:ext cx="270510" cy="46958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36</xdr:row>
      <xdr:rowOff>95250</xdr:rowOff>
    </xdr:from>
    <xdr:to>
      <xdr:col>7</xdr:col>
      <xdr:colOff>304800</xdr:colOff>
      <xdr:row>38</xdr:row>
      <xdr:rowOff>95250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45819FCC-BB43-4E27-A11A-C8457D44428D}"/>
            </a:ext>
          </a:extLst>
        </xdr:cNvPr>
        <xdr:cNvCxnSpPr/>
      </xdr:nvCxnSpPr>
      <xdr:spPr>
        <a:xfrm>
          <a:off x="5036820" y="686181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38</xdr:row>
      <xdr:rowOff>95250</xdr:rowOff>
    </xdr:from>
    <xdr:to>
      <xdr:col>8</xdr:col>
      <xdr:colOff>0</xdr:colOff>
      <xdr:row>38</xdr:row>
      <xdr:rowOff>95250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22B28175-D84C-4DC7-A6C0-5E7CC0F9FB2D}"/>
            </a:ext>
          </a:extLst>
        </xdr:cNvPr>
        <xdr:cNvCxnSpPr/>
      </xdr:nvCxnSpPr>
      <xdr:spPr>
        <a:xfrm>
          <a:off x="5341620" y="722757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95250</xdr:rowOff>
    </xdr:from>
    <xdr:to>
      <xdr:col>9</xdr:col>
      <xdr:colOff>140017</xdr:colOff>
      <xdr:row>42</xdr:row>
      <xdr:rowOff>95250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705BF543-DE87-4F85-B406-1201ECDF8380}"/>
            </a:ext>
          </a:extLst>
        </xdr:cNvPr>
        <xdr:cNvCxnSpPr/>
      </xdr:nvCxnSpPr>
      <xdr:spPr>
        <a:xfrm>
          <a:off x="6522720" y="795909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41</xdr:row>
      <xdr:rowOff>115729</xdr:rowOff>
    </xdr:from>
    <xdr:to>
      <xdr:col>10</xdr:col>
      <xdr:colOff>39404</xdr:colOff>
      <xdr:row>43</xdr:row>
      <xdr:rowOff>20479</xdr:rowOff>
    </xdr:to>
    <xdr:sp macro="[1]!selectNode22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7D6F1FBD-968F-4360-A59F-35D365B275AF}"/>
            </a:ext>
          </a:extLst>
        </xdr:cNvPr>
        <xdr:cNvSpPr/>
      </xdr:nvSpPr>
      <xdr:spPr>
        <a:xfrm rot="16200000">
          <a:off x="6801678" y="7697153"/>
          <a:ext cx="270510" cy="46958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42</xdr:row>
      <xdr:rowOff>95250</xdr:rowOff>
    </xdr:from>
    <xdr:to>
      <xdr:col>7</xdr:col>
      <xdr:colOff>304800</xdr:colOff>
      <xdr:row>44</xdr:row>
      <xdr:rowOff>95250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AD43DE4D-01E4-466A-B6EB-0B465576C315}"/>
            </a:ext>
          </a:extLst>
        </xdr:cNvPr>
        <xdr:cNvCxnSpPr/>
      </xdr:nvCxnSpPr>
      <xdr:spPr>
        <a:xfrm flipV="1">
          <a:off x="5036820" y="795909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42</xdr:row>
      <xdr:rowOff>95250</xdr:rowOff>
    </xdr:from>
    <xdr:to>
      <xdr:col>8</xdr:col>
      <xdr:colOff>0</xdr:colOff>
      <xdr:row>42</xdr:row>
      <xdr:rowOff>95250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15AF8FC3-67D4-48A0-ACE7-612047666020}"/>
            </a:ext>
          </a:extLst>
        </xdr:cNvPr>
        <xdr:cNvCxnSpPr/>
      </xdr:nvCxnSpPr>
      <xdr:spPr>
        <a:xfrm>
          <a:off x="5341620" y="795909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46</xdr:row>
      <xdr:rowOff>95250</xdr:rowOff>
    </xdr:from>
    <xdr:to>
      <xdr:col>9</xdr:col>
      <xdr:colOff>140017</xdr:colOff>
      <xdr:row>46</xdr:row>
      <xdr:rowOff>95250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24BBEA10-6337-4E27-AFA9-4A392D741132}"/>
            </a:ext>
          </a:extLst>
        </xdr:cNvPr>
        <xdr:cNvCxnSpPr/>
      </xdr:nvCxnSpPr>
      <xdr:spPr>
        <a:xfrm>
          <a:off x="6522720" y="869061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45</xdr:row>
      <xdr:rowOff>115729</xdr:rowOff>
    </xdr:from>
    <xdr:to>
      <xdr:col>10</xdr:col>
      <xdr:colOff>39404</xdr:colOff>
      <xdr:row>47</xdr:row>
      <xdr:rowOff>20479</xdr:rowOff>
    </xdr:to>
    <xdr:sp macro="[1]!selectNode23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1476F8F1-C8A7-4B12-8209-B9E9368821C3}"/>
            </a:ext>
          </a:extLst>
        </xdr:cNvPr>
        <xdr:cNvSpPr/>
      </xdr:nvSpPr>
      <xdr:spPr>
        <a:xfrm rot="16200000">
          <a:off x="6801678" y="8428673"/>
          <a:ext cx="270510" cy="46958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44</xdr:row>
      <xdr:rowOff>95250</xdr:rowOff>
    </xdr:from>
    <xdr:to>
      <xdr:col>7</xdr:col>
      <xdr:colOff>304800</xdr:colOff>
      <xdr:row>46</xdr:row>
      <xdr:rowOff>95250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82033CD1-A71D-415B-AC9D-0DD6F5741AA4}"/>
            </a:ext>
          </a:extLst>
        </xdr:cNvPr>
        <xdr:cNvCxnSpPr/>
      </xdr:nvCxnSpPr>
      <xdr:spPr>
        <a:xfrm>
          <a:off x="5036820" y="832485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46</xdr:row>
      <xdr:rowOff>95250</xdr:rowOff>
    </xdr:from>
    <xdr:to>
      <xdr:col>8</xdr:col>
      <xdr:colOff>0</xdr:colOff>
      <xdr:row>46</xdr:row>
      <xdr:rowOff>95250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F46F0CA1-3DBE-419E-836F-841A4D77122E}"/>
            </a:ext>
          </a:extLst>
        </xdr:cNvPr>
        <xdr:cNvCxnSpPr/>
      </xdr:nvCxnSpPr>
      <xdr:spPr>
        <a:xfrm>
          <a:off x="5341620" y="869061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95250</xdr:rowOff>
    </xdr:from>
    <xdr:to>
      <xdr:col>0</xdr:col>
      <xdr:colOff>233363</xdr:colOff>
      <xdr:row>28</xdr:row>
      <xdr:rowOff>95250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2F17ED97-6830-4BDA-B6B8-50BD7DE34DDE}"/>
            </a:ext>
          </a:extLst>
        </xdr:cNvPr>
        <xdr:cNvCxnSpPr/>
      </xdr:nvCxnSpPr>
      <xdr:spPr>
        <a:xfrm>
          <a:off x="0" y="576453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233363</xdr:colOff>
      <xdr:row>28</xdr:row>
      <xdr:rowOff>0</xdr:rowOff>
    </xdr:from>
    <xdr:to>
      <xdr:col>1</xdr:col>
      <xdr:colOff>0</xdr:colOff>
      <xdr:row>29</xdr:row>
      <xdr:rowOff>0</xdr:rowOff>
    </xdr:to>
    <xdr:sp macro="[1]!selectNode1" textlink="">
      <xdr:nvSpPr>
        <xdr:cNvPr id="93" name="Rectangle 92">
          <a:extLst>
            <a:ext uri="{FF2B5EF4-FFF2-40B4-BE49-F238E27FC236}">
              <a16:creationId xmlns:a16="http://schemas.microsoft.com/office/drawing/2014/main" id="{12C33A83-87BB-4706-8CC4-CF7C7DA50842}"/>
            </a:ext>
          </a:extLst>
        </xdr:cNvPr>
        <xdr:cNvSpPr/>
      </xdr:nvSpPr>
      <xdr:spPr>
        <a:xfrm>
          <a:off x="233363" y="5669280"/>
          <a:ext cx="75723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0</xdr:colOff>
      <xdr:row>16</xdr:row>
      <xdr:rowOff>95250</xdr:rowOff>
    </xdr:from>
    <xdr:to>
      <xdr:col>3</xdr:col>
      <xdr:colOff>233363</xdr:colOff>
      <xdr:row>16</xdr:row>
      <xdr:rowOff>95250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9A04E81B-CD55-4C0A-B1AC-62F30ADEF457}"/>
            </a:ext>
          </a:extLst>
        </xdr:cNvPr>
        <xdr:cNvCxnSpPr/>
      </xdr:nvCxnSpPr>
      <xdr:spPr>
        <a:xfrm>
          <a:off x="3208020" y="356997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233363</xdr:colOff>
      <xdr:row>16</xdr:row>
      <xdr:rowOff>0</xdr:rowOff>
    </xdr:from>
    <xdr:to>
      <xdr:col>4</xdr:col>
      <xdr:colOff>0</xdr:colOff>
      <xdr:row>17</xdr:row>
      <xdr:rowOff>0</xdr:rowOff>
    </xdr:to>
    <xdr:sp macro="[1]!selectNode2" textlink="">
      <xdr:nvSpPr>
        <xdr:cNvPr id="95" name="Oval 94">
          <a:extLst>
            <a:ext uri="{FF2B5EF4-FFF2-40B4-BE49-F238E27FC236}">
              <a16:creationId xmlns:a16="http://schemas.microsoft.com/office/drawing/2014/main" id="{38B9CDD3-DCFF-4548-A6CC-FACA32D04132}"/>
            </a:ext>
          </a:extLst>
        </xdr:cNvPr>
        <xdr:cNvSpPr/>
      </xdr:nvSpPr>
      <xdr:spPr>
        <a:xfrm>
          <a:off x="3441383" y="347472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16</xdr:row>
      <xdr:rowOff>95250</xdr:rowOff>
    </xdr:from>
    <xdr:to>
      <xdr:col>1</xdr:col>
      <xdr:colOff>295275</xdr:colOff>
      <xdr:row>28</xdr:row>
      <xdr:rowOff>95250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F7BA0DAC-8E14-46C3-8A87-243CD0658F39}"/>
            </a:ext>
          </a:extLst>
        </xdr:cNvPr>
        <xdr:cNvCxnSpPr/>
      </xdr:nvCxnSpPr>
      <xdr:spPr>
        <a:xfrm flipV="1">
          <a:off x="990600" y="3569970"/>
          <a:ext cx="295275" cy="2194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16</xdr:row>
      <xdr:rowOff>95250</xdr:rowOff>
    </xdr:from>
    <xdr:to>
      <xdr:col>2</xdr:col>
      <xdr:colOff>0</xdr:colOff>
      <xdr:row>16</xdr:row>
      <xdr:rowOff>95250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71404A5A-0A21-4D4C-A3C0-DBD233A691B3}"/>
            </a:ext>
          </a:extLst>
        </xdr:cNvPr>
        <xdr:cNvCxnSpPr/>
      </xdr:nvCxnSpPr>
      <xdr:spPr>
        <a:xfrm>
          <a:off x="1285875" y="3569970"/>
          <a:ext cx="314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95250</xdr:rowOff>
    </xdr:from>
    <xdr:to>
      <xdr:col>3</xdr:col>
      <xdr:colOff>233363</xdr:colOff>
      <xdr:row>40</xdr:row>
      <xdr:rowOff>95250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801C6BC-8EA8-4798-8A30-B9E50CD1DF76}"/>
            </a:ext>
          </a:extLst>
        </xdr:cNvPr>
        <xdr:cNvCxnSpPr/>
      </xdr:nvCxnSpPr>
      <xdr:spPr>
        <a:xfrm>
          <a:off x="3208020" y="795909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233363</xdr:colOff>
      <xdr:row>40</xdr:row>
      <xdr:rowOff>0</xdr:rowOff>
    </xdr:from>
    <xdr:to>
      <xdr:col>4</xdr:col>
      <xdr:colOff>0</xdr:colOff>
      <xdr:row>41</xdr:row>
      <xdr:rowOff>0</xdr:rowOff>
    </xdr:to>
    <xdr:sp macro="[1]!selectNode3" textlink="">
      <xdr:nvSpPr>
        <xdr:cNvPr id="99" name="Rectangle 98">
          <a:extLst>
            <a:ext uri="{FF2B5EF4-FFF2-40B4-BE49-F238E27FC236}">
              <a16:creationId xmlns:a16="http://schemas.microsoft.com/office/drawing/2014/main" id="{F4C9BEA8-2255-4531-A086-5983AF3CA7A3}"/>
            </a:ext>
          </a:extLst>
        </xdr:cNvPr>
        <xdr:cNvSpPr/>
      </xdr:nvSpPr>
      <xdr:spPr>
        <a:xfrm>
          <a:off x="3441383" y="7863840"/>
          <a:ext cx="38385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28</xdr:row>
      <xdr:rowOff>95250</xdr:rowOff>
    </xdr:from>
    <xdr:to>
      <xdr:col>1</xdr:col>
      <xdr:colOff>295275</xdr:colOff>
      <xdr:row>40</xdr:row>
      <xdr:rowOff>95250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17E3965E-ABDF-4839-A3A7-5DE2386198EF}"/>
            </a:ext>
          </a:extLst>
        </xdr:cNvPr>
        <xdr:cNvCxnSpPr/>
      </xdr:nvCxnSpPr>
      <xdr:spPr>
        <a:xfrm>
          <a:off x="990600" y="5764530"/>
          <a:ext cx="295275" cy="2194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40</xdr:row>
      <xdr:rowOff>95250</xdr:rowOff>
    </xdr:from>
    <xdr:to>
      <xdr:col>2</xdr:col>
      <xdr:colOff>0</xdr:colOff>
      <xdr:row>40</xdr:row>
      <xdr:rowOff>95250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4AA1FCE1-5C0B-425A-B5CE-522E304B33EF}"/>
            </a:ext>
          </a:extLst>
        </xdr:cNvPr>
        <xdr:cNvCxnSpPr/>
      </xdr:nvCxnSpPr>
      <xdr:spPr>
        <a:xfrm>
          <a:off x="1285875" y="7959090"/>
          <a:ext cx="314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95250</xdr:rowOff>
    </xdr:from>
    <xdr:to>
      <xdr:col>6</xdr:col>
      <xdr:colOff>233363</xdr:colOff>
      <xdr:row>8</xdr:row>
      <xdr:rowOff>95250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BFB3D034-7522-4D63-8FE0-007021BC5D37}"/>
            </a:ext>
          </a:extLst>
        </xdr:cNvPr>
        <xdr:cNvCxnSpPr/>
      </xdr:nvCxnSpPr>
      <xdr:spPr>
        <a:xfrm>
          <a:off x="5204460" y="210693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8</xdr:row>
      <xdr:rowOff>0</xdr:rowOff>
    </xdr:from>
    <xdr:to>
      <xdr:col>7</xdr:col>
      <xdr:colOff>0</xdr:colOff>
      <xdr:row>9</xdr:row>
      <xdr:rowOff>0</xdr:rowOff>
    </xdr:to>
    <xdr:sp macro="[1]!selectNode4" textlink="">
      <xdr:nvSpPr>
        <xdr:cNvPr id="103" name="Rectangle 102">
          <a:extLst>
            <a:ext uri="{FF2B5EF4-FFF2-40B4-BE49-F238E27FC236}">
              <a16:creationId xmlns:a16="http://schemas.microsoft.com/office/drawing/2014/main" id="{3EDBADEA-A09D-498A-B024-6A8623883411}"/>
            </a:ext>
          </a:extLst>
        </xdr:cNvPr>
        <xdr:cNvSpPr/>
      </xdr:nvSpPr>
      <xdr:spPr>
        <a:xfrm>
          <a:off x="5437823" y="2011680"/>
          <a:ext cx="38385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8</xdr:row>
      <xdr:rowOff>95250</xdr:rowOff>
    </xdr:from>
    <xdr:to>
      <xdr:col>4</xdr:col>
      <xdr:colOff>304800</xdr:colOff>
      <xdr:row>16</xdr:row>
      <xdr:rowOff>95250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48712964-A615-4A6B-93E7-2D1E0B6E01A9}"/>
            </a:ext>
          </a:extLst>
        </xdr:cNvPr>
        <xdr:cNvCxnSpPr/>
      </xdr:nvCxnSpPr>
      <xdr:spPr>
        <a:xfrm flipV="1">
          <a:off x="3825240" y="2106930"/>
          <a:ext cx="304800" cy="146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8</xdr:row>
      <xdr:rowOff>95250</xdr:rowOff>
    </xdr:from>
    <xdr:to>
      <xdr:col>5</xdr:col>
      <xdr:colOff>0</xdr:colOff>
      <xdr:row>8</xdr:row>
      <xdr:rowOff>95250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50F7424C-A514-49E4-9646-9612BE042567}"/>
            </a:ext>
          </a:extLst>
        </xdr:cNvPr>
        <xdr:cNvCxnSpPr/>
      </xdr:nvCxnSpPr>
      <xdr:spPr>
        <a:xfrm>
          <a:off x="4130040" y="210693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95250</xdr:rowOff>
    </xdr:from>
    <xdr:to>
      <xdr:col>6</xdr:col>
      <xdr:colOff>233363</xdr:colOff>
      <xdr:row>24</xdr:row>
      <xdr:rowOff>95250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4E5DC8BF-1FD6-44F4-ADCE-DBBEF9BE1246}"/>
            </a:ext>
          </a:extLst>
        </xdr:cNvPr>
        <xdr:cNvCxnSpPr/>
      </xdr:nvCxnSpPr>
      <xdr:spPr>
        <a:xfrm>
          <a:off x="5204460" y="503301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24</xdr:row>
      <xdr:rowOff>0</xdr:rowOff>
    </xdr:from>
    <xdr:to>
      <xdr:col>7</xdr:col>
      <xdr:colOff>0</xdr:colOff>
      <xdr:row>25</xdr:row>
      <xdr:rowOff>0</xdr:rowOff>
    </xdr:to>
    <xdr:sp macro="[1]!selectNode5" textlink="">
      <xdr:nvSpPr>
        <xdr:cNvPr id="107" name="Rectangle 106">
          <a:extLst>
            <a:ext uri="{FF2B5EF4-FFF2-40B4-BE49-F238E27FC236}">
              <a16:creationId xmlns:a16="http://schemas.microsoft.com/office/drawing/2014/main" id="{12D05B38-4F6F-4455-8B88-1418B25A9262}"/>
            </a:ext>
          </a:extLst>
        </xdr:cNvPr>
        <xdr:cNvSpPr/>
      </xdr:nvSpPr>
      <xdr:spPr>
        <a:xfrm>
          <a:off x="5437823" y="4937760"/>
          <a:ext cx="383857" cy="18288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16</xdr:row>
      <xdr:rowOff>95250</xdr:rowOff>
    </xdr:from>
    <xdr:to>
      <xdr:col>4</xdr:col>
      <xdr:colOff>304800</xdr:colOff>
      <xdr:row>24</xdr:row>
      <xdr:rowOff>95250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7500276C-1BBA-4158-8D22-F91CA655BF80}"/>
            </a:ext>
          </a:extLst>
        </xdr:cNvPr>
        <xdr:cNvCxnSpPr/>
      </xdr:nvCxnSpPr>
      <xdr:spPr>
        <a:xfrm>
          <a:off x="3825240" y="3569970"/>
          <a:ext cx="304800" cy="146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24</xdr:row>
      <xdr:rowOff>95250</xdr:rowOff>
    </xdr:from>
    <xdr:to>
      <xdr:col>5</xdr:col>
      <xdr:colOff>0</xdr:colOff>
      <xdr:row>24</xdr:row>
      <xdr:rowOff>95250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565B17CA-83A9-4960-8C99-1C3555F6AB0E}"/>
            </a:ext>
          </a:extLst>
        </xdr:cNvPr>
        <xdr:cNvCxnSpPr/>
      </xdr:nvCxnSpPr>
      <xdr:spPr>
        <a:xfrm>
          <a:off x="4130040" y="503301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95250</xdr:rowOff>
    </xdr:from>
    <xdr:to>
      <xdr:col>9</xdr:col>
      <xdr:colOff>233363</xdr:colOff>
      <xdr:row>4</xdr:row>
      <xdr:rowOff>95250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ACDAABFE-555F-481C-8D62-203C19E1FA5D}"/>
            </a:ext>
          </a:extLst>
        </xdr:cNvPr>
        <xdr:cNvCxnSpPr/>
      </xdr:nvCxnSpPr>
      <xdr:spPr>
        <a:xfrm>
          <a:off x="7604760" y="137541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4</xdr:row>
      <xdr:rowOff>0</xdr:rowOff>
    </xdr:from>
    <xdr:to>
      <xdr:col>10</xdr:col>
      <xdr:colOff>0</xdr:colOff>
      <xdr:row>5</xdr:row>
      <xdr:rowOff>0</xdr:rowOff>
    </xdr:to>
    <xdr:sp macro="[1]!selectNode6" textlink="">
      <xdr:nvSpPr>
        <xdr:cNvPr id="111" name="Oval 110">
          <a:extLst>
            <a:ext uri="{FF2B5EF4-FFF2-40B4-BE49-F238E27FC236}">
              <a16:creationId xmlns:a16="http://schemas.microsoft.com/office/drawing/2014/main" id="{C622A669-6E3C-449D-BCD6-C4B31803C595}"/>
            </a:ext>
          </a:extLst>
        </xdr:cNvPr>
        <xdr:cNvSpPr/>
      </xdr:nvSpPr>
      <xdr:spPr>
        <a:xfrm>
          <a:off x="7838123" y="128016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4</xdr:row>
      <xdr:rowOff>95250</xdr:rowOff>
    </xdr:from>
    <xdr:to>
      <xdr:col>7</xdr:col>
      <xdr:colOff>304800</xdr:colOff>
      <xdr:row>8</xdr:row>
      <xdr:rowOff>95250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909B3DB6-8D32-4DB3-90C1-E98A08220480}"/>
            </a:ext>
          </a:extLst>
        </xdr:cNvPr>
        <xdr:cNvCxnSpPr/>
      </xdr:nvCxnSpPr>
      <xdr:spPr>
        <a:xfrm flipV="1">
          <a:off x="5821680" y="137541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</xdr:row>
      <xdr:rowOff>95250</xdr:rowOff>
    </xdr:from>
    <xdr:to>
      <xdr:col>8</xdr:col>
      <xdr:colOff>0</xdr:colOff>
      <xdr:row>4</xdr:row>
      <xdr:rowOff>95250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76FBC9AA-B58A-41A0-8D6B-1CCEB24E701D}"/>
            </a:ext>
          </a:extLst>
        </xdr:cNvPr>
        <xdr:cNvCxnSpPr/>
      </xdr:nvCxnSpPr>
      <xdr:spPr>
        <a:xfrm>
          <a:off x="6126480" y="137541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95250</xdr:rowOff>
    </xdr:from>
    <xdr:to>
      <xdr:col>9</xdr:col>
      <xdr:colOff>233363</xdr:colOff>
      <xdr:row>12</xdr:row>
      <xdr:rowOff>95250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86EB42AE-46F1-4788-B5FC-8F956CBBE775}"/>
            </a:ext>
          </a:extLst>
        </xdr:cNvPr>
        <xdr:cNvCxnSpPr/>
      </xdr:nvCxnSpPr>
      <xdr:spPr>
        <a:xfrm>
          <a:off x="7604760" y="28384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12</xdr:row>
      <xdr:rowOff>0</xdr:rowOff>
    </xdr:from>
    <xdr:to>
      <xdr:col>10</xdr:col>
      <xdr:colOff>0</xdr:colOff>
      <xdr:row>13</xdr:row>
      <xdr:rowOff>0</xdr:rowOff>
    </xdr:to>
    <xdr:sp macro="[1]!selectNode7" textlink="">
      <xdr:nvSpPr>
        <xdr:cNvPr id="115" name="Oval 114">
          <a:extLst>
            <a:ext uri="{FF2B5EF4-FFF2-40B4-BE49-F238E27FC236}">
              <a16:creationId xmlns:a16="http://schemas.microsoft.com/office/drawing/2014/main" id="{0961EA6A-49AA-468F-9E0D-548AA03F30E2}"/>
            </a:ext>
          </a:extLst>
        </xdr:cNvPr>
        <xdr:cNvSpPr/>
      </xdr:nvSpPr>
      <xdr:spPr>
        <a:xfrm>
          <a:off x="7838123" y="274320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8</xdr:row>
      <xdr:rowOff>95250</xdr:rowOff>
    </xdr:from>
    <xdr:to>
      <xdr:col>7</xdr:col>
      <xdr:colOff>304800</xdr:colOff>
      <xdr:row>12</xdr:row>
      <xdr:rowOff>95250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F049F78B-52A3-42D6-B2E6-75CAEECDEF7E}"/>
            </a:ext>
          </a:extLst>
        </xdr:cNvPr>
        <xdr:cNvCxnSpPr/>
      </xdr:nvCxnSpPr>
      <xdr:spPr>
        <a:xfrm>
          <a:off x="5821680" y="210693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12</xdr:row>
      <xdr:rowOff>95250</xdr:rowOff>
    </xdr:from>
    <xdr:to>
      <xdr:col>8</xdr:col>
      <xdr:colOff>0</xdr:colOff>
      <xdr:row>12</xdr:row>
      <xdr:rowOff>95250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BAC999D8-7DFE-4D27-B32B-E5879B1AE61C}"/>
            </a:ext>
          </a:extLst>
        </xdr:cNvPr>
        <xdr:cNvCxnSpPr/>
      </xdr:nvCxnSpPr>
      <xdr:spPr>
        <a:xfrm>
          <a:off x="6126480" y="283845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95250</xdr:rowOff>
    </xdr:from>
    <xdr:to>
      <xdr:col>9</xdr:col>
      <xdr:colOff>233363</xdr:colOff>
      <xdr:row>20</xdr:row>
      <xdr:rowOff>95250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29E62BAE-195E-4EFE-9489-76BF0BE6AA20}"/>
            </a:ext>
          </a:extLst>
        </xdr:cNvPr>
        <xdr:cNvCxnSpPr/>
      </xdr:nvCxnSpPr>
      <xdr:spPr>
        <a:xfrm>
          <a:off x="7604760" y="430149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20</xdr:row>
      <xdr:rowOff>0</xdr:rowOff>
    </xdr:from>
    <xdr:to>
      <xdr:col>10</xdr:col>
      <xdr:colOff>0</xdr:colOff>
      <xdr:row>21</xdr:row>
      <xdr:rowOff>0</xdr:rowOff>
    </xdr:to>
    <xdr:sp macro="[1]!selectNode8" textlink="">
      <xdr:nvSpPr>
        <xdr:cNvPr id="119" name="Oval 118">
          <a:extLst>
            <a:ext uri="{FF2B5EF4-FFF2-40B4-BE49-F238E27FC236}">
              <a16:creationId xmlns:a16="http://schemas.microsoft.com/office/drawing/2014/main" id="{733665FD-0D89-499A-8062-413F91DC13D2}"/>
            </a:ext>
          </a:extLst>
        </xdr:cNvPr>
        <xdr:cNvSpPr/>
      </xdr:nvSpPr>
      <xdr:spPr>
        <a:xfrm>
          <a:off x="7838123" y="420624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20</xdr:row>
      <xdr:rowOff>95250</xdr:rowOff>
    </xdr:from>
    <xdr:to>
      <xdr:col>7</xdr:col>
      <xdr:colOff>304800</xdr:colOff>
      <xdr:row>24</xdr:row>
      <xdr:rowOff>95250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E0F4A20E-794A-4AC1-B34A-1BCA282EE68B}"/>
            </a:ext>
          </a:extLst>
        </xdr:cNvPr>
        <xdr:cNvCxnSpPr/>
      </xdr:nvCxnSpPr>
      <xdr:spPr>
        <a:xfrm flipV="1">
          <a:off x="5821680" y="430149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20</xdr:row>
      <xdr:rowOff>95250</xdr:rowOff>
    </xdr:from>
    <xdr:to>
      <xdr:col>8</xdr:col>
      <xdr:colOff>0</xdr:colOff>
      <xdr:row>20</xdr:row>
      <xdr:rowOff>95250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684A2643-5720-488D-9665-2D4CF1A0E740}"/>
            </a:ext>
          </a:extLst>
        </xdr:cNvPr>
        <xdr:cNvCxnSpPr/>
      </xdr:nvCxnSpPr>
      <xdr:spPr>
        <a:xfrm>
          <a:off x="6126480" y="430149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28</xdr:row>
      <xdr:rowOff>95250</xdr:rowOff>
    </xdr:from>
    <xdr:to>
      <xdr:col>9</xdr:col>
      <xdr:colOff>233363</xdr:colOff>
      <xdr:row>28</xdr:row>
      <xdr:rowOff>95250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5ADA351E-AF04-42BE-A873-4A820FA97E8D}"/>
            </a:ext>
          </a:extLst>
        </xdr:cNvPr>
        <xdr:cNvCxnSpPr/>
      </xdr:nvCxnSpPr>
      <xdr:spPr>
        <a:xfrm>
          <a:off x="7604760" y="576453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28</xdr:row>
      <xdr:rowOff>0</xdr:rowOff>
    </xdr:from>
    <xdr:to>
      <xdr:col>10</xdr:col>
      <xdr:colOff>0</xdr:colOff>
      <xdr:row>29</xdr:row>
      <xdr:rowOff>0</xdr:rowOff>
    </xdr:to>
    <xdr:sp macro="[1]!selectNode9" textlink="">
      <xdr:nvSpPr>
        <xdr:cNvPr id="123" name="Oval 122">
          <a:extLst>
            <a:ext uri="{FF2B5EF4-FFF2-40B4-BE49-F238E27FC236}">
              <a16:creationId xmlns:a16="http://schemas.microsoft.com/office/drawing/2014/main" id="{0D14E546-00BC-4997-8D9F-748ED108A188}"/>
            </a:ext>
          </a:extLst>
        </xdr:cNvPr>
        <xdr:cNvSpPr/>
      </xdr:nvSpPr>
      <xdr:spPr>
        <a:xfrm>
          <a:off x="7838123" y="566928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24</xdr:row>
      <xdr:rowOff>95250</xdr:rowOff>
    </xdr:from>
    <xdr:to>
      <xdr:col>7</xdr:col>
      <xdr:colOff>304800</xdr:colOff>
      <xdr:row>28</xdr:row>
      <xdr:rowOff>95250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A800AFE7-3DA6-4063-9CAD-AA28FCF23993}"/>
            </a:ext>
          </a:extLst>
        </xdr:cNvPr>
        <xdr:cNvCxnSpPr/>
      </xdr:nvCxnSpPr>
      <xdr:spPr>
        <a:xfrm>
          <a:off x="5821680" y="503301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28</xdr:row>
      <xdr:rowOff>95250</xdr:rowOff>
    </xdr:from>
    <xdr:to>
      <xdr:col>8</xdr:col>
      <xdr:colOff>0</xdr:colOff>
      <xdr:row>28</xdr:row>
      <xdr:rowOff>95250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F467E5A2-5BD9-4A47-8AC2-F53A685CB589}"/>
            </a:ext>
          </a:extLst>
        </xdr:cNvPr>
        <xdr:cNvCxnSpPr/>
      </xdr:nvCxnSpPr>
      <xdr:spPr>
        <a:xfrm>
          <a:off x="6126480" y="576453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95250</xdr:rowOff>
    </xdr:from>
    <xdr:to>
      <xdr:col>12</xdr:col>
      <xdr:colOff>140018</xdr:colOff>
      <xdr:row>2</xdr:row>
      <xdr:rowOff>95250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163D57E5-E41B-471E-B1EF-05C58946BE5A}"/>
            </a:ext>
          </a:extLst>
        </xdr:cNvPr>
        <xdr:cNvCxnSpPr/>
      </xdr:nvCxnSpPr>
      <xdr:spPr>
        <a:xfrm>
          <a:off x="9898380" y="10096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1</xdr:row>
      <xdr:rowOff>115729</xdr:rowOff>
    </xdr:from>
    <xdr:to>
      <xdr:col>13</xdr:col>
      <xdr:colOff>57597</xdr:colOff>
      <xdr:row>3</xdr:row>
      <xdr:rowOff>20479</xdr:rowOff>
    </xdr:to>
    <xdr:sp macro="[1]!selectNode10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2673F3BE-B73A-4D84-B2BE-179B283AE49F}"/>
            </a:ext>
          </a:extLst>
        </xdr:cNvPr>
        <xdr:cNvSpPr/>
      </xdr:nvSpPr>
      <xdr:spPr>
        <a:xfrm rot="16200000">
          <a:off x="10321261" y="621983"/>
          <a:ext cx="270510" cy="72104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</xdr:row>
      <xdr:rowOff>95250</xdr:rowOff>
    </xdr:from>
    <xdr:to>
      <xdr:col>10</xdr:col>
      <xdr:colOff>304800</xdr:colOff>
      <xdr:row>4</xdr:row>
      <xdr:rowOff>95250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E3683CEC-2724-4F02-92D2-C137C8862EED}"/>
            </a:ext>
          </a:extLst>
        </xdr:cNvPr>
        <xdr:cNvCxnSpPr/>
      </xdr:nvCxnSpPr>
      <xdr:spPr>
        <a:xfrm flipV="1">
          <a:off x="8221980" y="100965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</xdr:row>
      <xdr:rowOff>95250</xdr:rowOff>
    </xdr:from>
    <xdr:to>
      <xdr:col>11</xdr:col>
      <xdr:colOff>0</xdr:colOff>
      <xdr:row>2</xdr:row>
      <xdr:rowOff>95250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9D9F22F6-6649-4D90-A5A4-65FC189B9AE1}"/>
            </a:ext>
          </a:extLst>
        </xdr:cNvPr>
        <xdr:cNvCxnSpPr/>
      </xdr:nvCxnSpPr>
      <xdr:spPr>
        <a:xfrm>
          <a:off x="8526780" y="100965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95250</xdr:rowOff>
    </xdr:from>
    <xdr:to>
      <xdr:col>12</xdr:col>
      <xdr:colOff>140018</xdr:colOff>
      <xdr:row>6</xdr:row>
      <xdr:rowOff>95250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68B1D668-3EE5-4841-90F9-4C960B6FA65E}"/>
            </a:ext>
          </a:extLst>
        </xdr:cNvPr>
        <xdr:cNvCxnSpPr/>
      </xdr:nvCxnSpPr>
      <xdr:spPr>
        <a:xfrm>
          <a:off x="9898380" y="174117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195615</xdr:colOff>
      <xdr:row>5</xdr:row>
      <xdr:rowOff>115729</xdr:rowOff>
    </xdr:from>
    <xdr:to>
      <xdr:col>13</xdr:col>
      <xdr:colOff>55598</xdr:colOff>
      <xdr:row>7</xdr:row>
      <xdr:rowOff>20479</xdr:rowOff>
    </xdr:to>
    <xdr:sp macro="[1]!selectNode11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312744C3-4D33-47E5-ACFE-21451C1A0103}"/>
            </a:ext>
          </a:extLst>
        </xdr:cNvPr>
        <xdr:cNvSpPr/>
      </xdr:nvSpPr>
      <xdr:spPr>
        <a:xfrm rot="16200000">
          <a:off x="10319262" y="1353502"/>
          <a:ext cx="270510" cy="72104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4</xdr:row>
      <xdr:rowOff>95250</xdr:rowOff>
    </xdr:from>
    <xdr:to>
      <xdr:col>10</xdr:col>
      <xdr:colOff>304800</xdr:colOff>
      <xdr:row>6</xdr:row>
      <xdr:rowOff>95250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15C4FBBC-C395-45E0-B323-C85D1764E8DD}"/>
            </a:ext>
          </a:extLst>
        </xdr:cNvPr>
        <xdr:cNvCxnSpPr/>
      </xdr:nvCxnSpPr>
      <xdr:spPr>
        <a:xfrm>
          <a:off x="8221980" y="137541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</xdr:row>
      <xdr:rowOff>95250</xdr:rowOff>
    </xdr:from>
    <xdr:to>
      <xdr:col>11</xdr:col>
      <xdr:colOff>0</xdr:colOff>
      <xdr:row>6</xdr:row>
      <xdr:rowOff>95250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9B0B4AA3-BC17-4F67-9EBD-4E0CC0D4C7ED}"/>
            </a:ext>
          </a:extLst>
        </xdr:cNvPr>
        <xdr:cNvCxnSpPr/>
      </xdr:nvCxnSpPr>
      <xdr:spPr>
        <a:xfrm>
          <a:off x="8526780" y="174117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95250</xdr:rowOff>
    </xdr:from>
    <xdr:to>
      <xdr:col>12</xdr:col>
      <xdr:colOff>140018</xdr:colOff>
      <xdr:row>18</xdr:row>
      <xdr:rowOff>95250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D0A73885-83F6-483C-A1C6-04C62D186ECB}"/>
            </a:ext>
          </a:extLst>
        </xdr:cNvPr>
        <xdr:cNvCxnSpPr/>
      </xdr:nvCxnSpPr>
      <xdr:spPr>
        <a:xfrm>
          <a:off x="9898380" y="393573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17</xdr:row>
      <xdr:rowOff>115729</xdr:rowOff>
    </xdr:from>
    <xdr:to>
      <xdr:col>13</xdr:col>
      <xdr:colOff>57598</xdr:colOff>
      <xdr:row>19</xdr:row>
      <xdr:rowOff>20479</xdr:rowOff>
    </xdr:to>
    <xdr:sp macro="[1]!selectNode12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78C41A1D-3DE7-45E1-BBD4-8FCE734B93B6}"/>
            </a:ext>
          </a:extLst>
        </xdr:cNvPr>
        <xdr:cNvSpPr/>
      </xdr:nvSpPr>
      <xdr:spPr>
        <a:xfrm rot="16200000">
          <a:off x="10321262" y="3548062"/>
          <a:ext cx="270510" cy="72104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18</xdr:row>
      <xdr:rowOff>95250</xdr:rowOff>
    </xdr:from>
    <xdr:to>
      <xdr:col>10</xdr:col>
      <xdr:colOff>304800</xdr:colOff>
      <xdr:row>20</xdr:row>
      <xdr:rowOff>95250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28AE9531-7827-439D-87AC-77EB773DD029}"/>
            </a:ext>
          </a:extLst>
        </xdr:cNvPr>
        <xdr:cNvCxnSpPr/>
      </xdr:nvCxnSpPr>
      <xdr:spPr>
        <a:xfrm flipV="1">
          <a:off x="8221980" y="393573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18</xdr:row>
      <xdr:rowOff>95250</xdr:rowOff>
    </xdr:from>
    <xdr:to>
      <xdr:col>11</xdr:col>
      <xdr:colOff>0</xdr:colOff>
      <xdr:row>18</xdr:row>
      <xdr:rowOff>95250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5256AB47-A2D4-43F3-96DE-B5E3D2800F91}"/>
            </a:ext>
          </a:extLst>
        </xdr:cNvPr>
        <xdr:cNvCxnSpPr/>
      </xdr:nvCxnSpPr>
      <xdr:spPr>
        <a:xfrm>
          <a:off x="8526780" y="393573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95250</xdr:rowOff>
    </xdr:from>
    <xdr:to>
      <xdr:col>12</xdr:col>
      <xdr:colOff>140018</xdr:colOff>
      <xdr:row>22</xdr:row>
      <xdr:rowOff>95250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1E0D5444-DB2E-405F-BCBE-D0702EFB8D51}"/>
            </a:ext>
          </a:extLst>
        </xdr:cNvPr>
        <xdr:cNvCxnSpPr/>
      </xdr:nvCxnSpPr>
      <xdr:spPr>
        <a:xfrm>
          <a:off x="9898380" y="46672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21</xdr:row>
      <xdr:rowOff>115729</xdr:rowOff>
    </xdr:from>
    <xdr:to>
      <xdr:col>13</xdr:col>
      <xdr:colOff>57598</xdr:colOff>
      <xdr:row>23</xdr:row>
      <xdr:rowOff>20479</xdr:rowOff>
    </xdr:to>
    <xdr:sp macro="[1]!selectNode13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9F08F69-8A6F-44BB-BEE9-D309B1F8B111}"/>
            </a:ext>
          </a:extLst>
        </xdr:cNvPr>
        <xdr:cNvSpPr/>
      </xdr:nvSpPr>
      <xdr:spPr>
        <a:xfrm rot="16200000">
          <a:off x="10321262" y="4279582"/>
          <a:ext cx="270510" cy="72104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20</xdr:row>
      <xdr:rowOff>95250</xdr:rowOff>
    </xdr:from>
    <xdr:to>
      <xdr:col>10</xdr:col>
      <xdr:colOff>304800</xdr:colOff>
      <xdr:row>22</xdr:row>
      <xdr:rowOff>95250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DD4C72B5-0624-461C-8621-A745722FC314}"/>
            </a:ext>
          </a:extLst>
        </xdr:cNvPr>
        <xdr:cNvCxnSpPr/>
      </xdr:nvCxnSpPr>
      <xdr:spPr>
        <a:xfrm>
          <a:off x="8221980" y="430149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22</xdr:row>
      <xdr:rowOff>95250</xdr:rowOff>
    </xdr:from>
    <xdr:to>
      <xdr:col>11</xdr:col>
      <xdr:colOff>0</xdr:colOff>
      <xdr:row>22</xdr:row>
      <xdr:rowOff>95250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83FF3461-3C30-4EA0-86F2-EC45EF3C38ED}"/>
            </a:ext>
          </a:extLst>
        </xdr:cNvPr>
        <xdr:cNvCxnSpPr/>
      </xdr:nvCxnSpPr>
      <xdr:spPr>
        <a:xfrm>
          <a:off x="8526780" y="466725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</xdr:row>
      <xdr:rowOff>95250</xdr:rowOff>
    </xdr:from>
    <xdr:to>
      <xdr:col>12</xdr:col>
      <xdr:colOff>140018</xdr:colOff>
      <xdr:row>10</xdr:row>
      <xdr:rowOff>95250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1BB44AFE-00DA-494B-9A30-02A72660FCDC}"/>
            </a:ext>
          </a:extLst>
        </xdr:cNvPr>
        <xdr:cNvCxnSpPr/>
      </xdr:nvCxnSpPr>
      <xdr:spPr>
        <a:xfrm>
          <a:off x="9898380" y="247269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9</xdr:row>
      <xdr:rowOff>115729</xdr:rowOff>
    </xdr:from>
    <xdr:to>
      <xdr:col>13</xdr:col>
      <xdr:colOff>57598</xdr:colOff>
      <xdr:row>11</xdr:row>
      <xdr:rowOff>20479</xdr:rowOff>
    </xdr:to>
    <xdr:sp macro="[1]!selectNode14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A32A845B-577A-4C02-A2C0-F6981FAD1615}"/>
            </a:ext>
          </a:extLst>
        </xdr:cNvPr>
        <xdr:cNvSpPr/>
      </xdr:nvSpPr>
      <xdr:spPr>
        <a:xfrm rot="16200000">
          <a:off x="10321262" y="2085022"/>
          <a:ext cx="270510" cy="72104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10</xdr:row>
      <xdr:rowOff>95250</xdr:rowOff>
    </xdr:from>
    <xdr:to>
      <xdr:col>10</xdr:col>
      <xdr:colOff>304800</xdr:colOff>
      <xdr:row>12</xdr:row>
      <xdr:rowOff>95250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4DE3059B-EE16-474E-AD40-C348FC12DD2F}"/>
            </a:ext>
          </a:extLst>
        </xdr:cNvPr>
        <xdr:cNvCxnSpPr/>
      </xdr:nvCxnSpPr>
      <xdr:spPr>
        <a:xfrm flipV="1">
          <a:off x="8221980" y="247269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10</xdr:row>
      <xdr:rowOff>95250</xdr:rowOff>
    </xdr:from>
    <xdr:to>
      <xdr:col>11</xdr:col>
      <xdr:colOff>0</xdr:colOff>
      <xdr:row>10</xdr:row>
      <xdr:rowOff>95250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27D71761-8A74-4EBF-A177-97CF5743B14D}"/>
            </a:ext>
          </a:extLst>
        </xdr:cNvPr>
        <xdr:cNvCxnSpPr/>
      </xdr:nvCxnSpPr>
      <xdr:spPr>
        <a:xfrm>
          <a:off x="8526780" y="247269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95250</xdr:rowOff>
    </xdr:from>
    <xdr:to>
      <xdr:col>12</xdr:col>
      <xdr:colOff>140018</xdr:colOff>
      <xdr:row>14</xdr:row>
      <xdr:rowOff>95250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E9B2CDAA-67C0-48C4-AAB1-2EB80040A8E7}"/>
            </a:ext>
          </a:extLst>
        </xdr:cNvPr>
        <xdr:cNvCxnSpPr/>
      </xdr:nvCxnSpPr>
      <xdr:spPr>
        <a:xfrm>
          <a:off x="9898380" y="320421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13</xdr:row>
      <xdr:rowOff>115729</xdr:rowOff>
    </xdr:from>
    <xdr:to>
      <xdr:col>13</xdr:col>
      <xdr:colOff>57598</xdr:colOff>
      <xdr:row>15</xdr:row>
      <xdr:rowOff>20479</xdr:rowOff>
    </xdr:to>
    <xdr:sp macro="[1]!selectNode15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123EB9D3-4FEE-4347-BC6A-BF14901B3A45}"/>
            </a:ext>
          </a:extLst>
        </xdr:cNvPr>
        <xdr:cNvSpPr/>
      </xdr:nvSpPr>
      <xdr:spPr>
        <a:xfrm rot="16200000">
          <a:off x="10321262" y="2816542"/>
          <a:ext cx="270510" cy="72104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12</xdr:row>
      <xdr:rowOff>95250</xdr:rowOff>
    </xdr:from>
    <xdr:to>
      <xdr:col>10</xdr:col>
      <xdr:colOff>304800</xdr:colOff>
      <xdr:row>14</xdr:row>
      <xdr:rowOff>95250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1CEF7CD2-A602-48FC-9499-4F14B16ADCE9}"/>
            </a:ext>
          </a:extLst>
        </xdr:cNvPr>
        <xdr:cNvCxnSpPr/>
      </xdr:nvCxnSpPr>
      <xdr:spPr>
        <a:xfrm>
          <a:off x="8221980" y="283845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14</xdr:row>
      <xdr:rowOff>95250</xdr:rowOff>
    </xdr:from>
    <xdr:to>
      <xdr:col>11</xdr:col>
      <xdr:colOff>0</xdr:colOff>
      <xdr:row>14</xdr:row>
      <xdr:rowOff>95250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1DB68D18-F8E0-49A4-8C8D-791A073AD103}"/>
            </a:ext>
          </a:extLst>
        </xdr:cNvPr>
        <xdr:cNvCxnSpPr/>
      </xdr:nvCxnSpPr>
      <xdr:spPr>
        <a:xfrm>
          <a:off x="8526780" y="320421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26</xdr:row>
      <xdr:rowOff>95250</xdr:rowOff>
    </xdr:from>
    <xdr:to>
      <xdr:col>12</xdr:col>
      <xdr:colOff>140018</xdr:colOff>
      <xdr:row>26</xdr:row>
      <xdr:rowOff>95250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A90C3DB3-37C1-4681-816F-AA6F32522A6B}"/>
            </a:ext>
          </a:extLst>
        </xdr:cNvPr>
        <xdr:cNvCxnSpPr/>
      </xdr:nvCxnSpPr>
      <xdr:spPr>
        <a:xfrm>
          <a:off x="9898380" y="539877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25</xdr:row>
      <xdr:rowOff>115729</xdr:rowOff>
    </xdr:from>
    <xdr:to>
      <xdr:col>13</xdr:col>
      <xdr:colOff>57598</xdr:colOff>
      <xdr:row>27</xdr:row>
      <xdr:rowOff>20479</xdr:rowOff>
    </xdr:to>
    <xdr:sp macro="[1]!selectNode16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D1DF55A-5CA2-4E97-88FA-15AEB7974EB7}"/>
            </a:ext>
          </a:extLst>
        </xdr:cNvPr>
        <xdr:cNvSpPr/>
      </xdr:nvSpPr>
      <xdr:spPr>
        <a:xfrm rot="16200000">
          <a:off x="10321262" y="5011102"/>
          <a:ext cx="270510" cy="721043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26</xdr:row>
      <xdr:rowOff>95250</xdr:rowOff>
    </xdr:from>
    <xdr:to>
      <xdr:col>10</xdr:col>
      <xdr:colOff>304800</xdr:colOff>
      <xdr:row>28</xdr:row>
      <xdr:rowOff>95250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A6EFF9E0-3683-4FB8-B487-A7D7BED7E5F4}"/>
            </a:ext>
          </a:extLst>
        </xdr:cNvPr>
        <xdr:cNvCxnSpPr/>
      </xdr:nvCxnSpPr>
      <xdr:spPr>
        <a:xfrm flipV="1">
          <a:off x="8221980" y="539877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26</xdr:row>
      <xdr:rowOff>95250</xdr:rowOff>
    </xdr:from>
    <xdr:to>
      <xdr:col>11</xdr:col>
      <xdr:colOff>0</xdr:colOff>
      <xdr:row>26</xdr:row>
      <xdr:rowOff>95250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23741709-C013-435E-A1ED-5E3474D5B2E6}"/>
            </a:ext>
          </a:extLst>
        </xdr:cNvPr>
        <xdr:cNvCxnSpPr/>
      </xdr:nvCxnSpPr>
      <xdr:spPr>
        <a:xfrm>
          <a:off x="8526780" y="539877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95250</xdr:rowOff>
    </xdr:from>
    <xdr:to>
      <xdr:col>12</xdr:col>
      <xdr:colOff>140018</xdr:colOff>
      <xdr:row>30</xdr:row>
      <xdr:rowOff>95250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3C47A86D-F5E1-482A-8EC2-2D0A7841763F}"/>
            </a:ext>
          </a:extLst>
        </xdr:cNvPr>
        <xdr:cNvCxnSpPr/>
      </xdr:nvCxnSpPr>
      <xdr:spPr>
        <a:xfrm>
          <a:off x="9898380" y="613029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197615</xdr:colOff>
      <xdr:row>29</xdr:row>
      <xdr:rowOff>115729</xdr:rowOff>
    </xdr:from>
    <xdr:to>
      <xdr:col>13</xdr:col>
      <xdr:colOff>57597</xdr:colOff>
      <xdr:row>31</xdr:row>
      <xdr:rowOff>20479</xdr:rowOff>
    </xdr:to>
    <xdr:sp macro="[1]!selectNode17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99B7CCD9-E7B3-4E49-A845-462ECC796B76}"/>
            </a:ext>
          </a:extLst>
        </xdr:cNvPr>
        <xdr:cNvSpPr/>
      </xdr:nvSpPr>
      <xdr:spPr>
        <a:xfrm rot="16200000">
          <a:off x="10321261" y="5742623"/>
          <a:ext cx="270510" cy="72104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0</xdr:colOff>
      <xdr:row>28</xdr:row>
      <xdr:rowOff>95250</xdr:rowOff>
    </xdr:from>
    <xdr:to>
      <xdr:col>10</xdr:col>
      <xdr:colOff>304800</xdr:colOff>
      <xdr:row>30</xdr:row>
      <xdr:rowOff>95250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482AFF6-D1AF-433E-8A4C-C435D6D030D0}"/>
            </a:ext>
          </a:extLst>
        </xdr:cNvPr>
        <xdr:cNvCxnSpPr/>
      </xdr:nvCxnSpPr>
      <xdr:spPr>
        <a:xfrm>
          <a:off x="8221980" y="576453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30</xdr:row>
      <xdr:rowOff>95250</xdr:rowOff>
    </xdr:from>
    <xdr:to>
      <xdr:col>11</xdr:col>
      <xdr:colOff>0</xdr:colOff>
      <xdr:row>30</xdr:row>
      <xdr:rowOff>95250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E3BB53A3-73E2-4437-BB61-FB20E3F2916A}"/>
            </a:ext>
          </a:extLst>
        </xdr:cNvPr>
        <xdr:cNvCxnSpPr/>
      </xdr:nvCxnSpPr>
      <xdr:spPr>
        <a:xfrm>
          <a:off x="8526780" y="613029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</xdr:row>
      <xdr:rowOff>95250</xdr:rowOff>
    </xdr:from>
    <xdr:to>
      <xdr:col>6</xdr:col>
      <xdr:colOff>233363</xdr:colOff>
      <xdr:row>36</xdr:row>
      <xdr:rowOff>95250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13258474-6FCE-4E75-93AE-1BA761416F30}"/>
            </a:ext>
          </a:extLst>
        </xdr:cNvPr>
        <xdr:cNvCxnSpPr/>
      </xdr:nvCxnSpPr>
      <xdr:spPr>
        <a:xfrm>
          <a:off x="5204460" y="722757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36</xdr:row>
      <xdr:rowOff>0</xdr:rowOff>
    </xdr:from>
    <xdr:to>
      <xdr:col>7</xdr:col>
      <xdr:colOff>0</xdr:colOff>
      <xdr:row>37</xdr:row>
      <xdr:rowOff>0</xdr:rowOff>
    </xdr:to>
    <xdr:sp macro="[1]!selectNode18" textlink="">
      <xdr:nvSpPr>
        <xdr:cNvPr id="159" name="Oval 158">
          <a:extLst>
            <a:ext uri="{FF2B5EF4-FFF2-40B4-BE49-F238E27FC236}">
              <a16:creationId xmlns:a16="http://schemas.microsoft.com/office/drawing/2014/main" id="{700F3757-D064-4BC1-82B4-E3042DA46D82}"/>
            </a:ext>
          </a:extLst>
        </xdr:cNvPr>
        <xdr:cNvSpPr/>
      </xdr:nvSpPr>
      <xdr:spPr>
        <a:xfrm>
          <a:off x="5437823" y="713232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36</xdr:row>
      <xdr:rowOff>95250</xdr:rowOff>
    </xdr:from>
    <xdr:to>
      <xdr:col>4</xdr:col>
      <xdr:colOff>304800</xdr:colOff>
      <xdr:row>40</xdr:row>
      <xdr:rowOff>95250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D12E0485-6D4F-4547-A630-6697ED6BF136}"/>
            </a:ext>
          </a:extLst>
        </xdr:cNvPr>
        <xdr:cNvCxnSpPr/>
      </xdr:nvCxnSpPr>
      <xdr:spPr>
        <a:xfrm flipV="1">
          <a:off x="3825240" y="722757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36</xdr:row>
      <xdr:rowOff>95250</xdr:rowOff>
    </xdr:from>
    <xdr:to>
      <xdr:col>5</xdr:col>
      <xdr:colOff>0</xdr:colOff>
      <xdr:row>36</xdr:row>
      <xdr:rowOff>95250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D21A92DB-B813-489C-9F12-B30B54B72F86}"/>
            </a:ext>
          </a:extLst>
        </xdr:cNvPr>
        <xdr:cNvCxnSpPr/>
      </xdr:nvCxnSpPr>
      <xdr:spPr>
        <a:xfrm>
          <a:off x="4130040" y="722757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95250</xdr:rowOff>
    </xdr:from>
    <xdr:to>
      <xdr:col>6</xdr:col>
      <xdr:colOff>233363</xdr:colOff>
      <xdr:row>44</xdr:row>
      <xdr:rowOff>95250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970D2CF-1A17-4F8A-B36F-DA4C1929BFB8}"/>
            </a:ext>
          </a:extLst>
        </xdr:cNvPr>
        <xdr:cNvCxnSpPr/>
      </xdr:nvCxnSpPr>
      <xdr:spPr>
        <a:xfrm>
          <a:off x="5204460" y="869061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44</xdr:row>
      <xdr:rowOff>0</xdr:rowOff>
    </xdr:from>
    <xdr:to>
      <xdr:col>7</xdr:col>
      <xdr:colOff>0</xdr:colOff>
      <xdr:row>45</xdr:row>
      <xdr:rowOff>0</xdr:rowOff>
    </xdr:to>
    <xdr:sp macro="[1]!selectNode19" textlink="">
      <xdr:nvSpPr>
        <xdr:cNvPr id="163" name="Oval 162">
          <a:extLst>
            <a:ext uri="{FF2B5EF4-FFF2-40B4-BE49-F238E27FC236}">
              <a16:creationId xmlns:a16="http://schemas.microsoft.com/office/drawing/2014/main" id="{DB69CD04-626B-4B1B-82C0-CDDD81072EB7}"/>
            </a:ext>
          </a:extLst>
        </xdr:cNvPr>
        <xdr:cNvSpPr/>
      </xdr:nvSpPr>
      <xdr:spPr>
        <a:xfrm>
          <a:off x="5437823" y="8595360"/>
          <a:ext cx="383857" cy="18288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0</xdr:colOff>
      <xdr:row>40</xdr:row>
      <xdr:rowOff>95250</xdr:rowOff>
    </xdr:from>
    <xdr:to>
      <xdr:col>4</xdr:col>
      <xdr:colOff>304800</xdr:colOff>
      <xdr:row>44</xdr:row>
      <xdr:rowOff>95250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F43607FD-F843-4143-8BC1-076A36E39337}"/>
            </a:ext>
          </a:extLst>
        </xdr:cNvPr>
        <xdr:cNvCxnSpPr/>
      </xdr:nvCxnSpPr>
      <xdr:spPr>
        <a:xfrm>
          <a:off x="3825240" y="7959090"/>
          <a:ext cx="30480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44</xdr:row>
      <xdr:rowOff>95250</xdr:rowOff>
    </xdr:from>
    <xdr:to>
      <xdr:col>5</xdr:col>
      <xdr:colOff>0</xdr:colOff>
      <xdr:row>44</xdr:row>
      <xdr:rowOff>95250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A3413363-E173-49D4-BD69-4D99155EE2AD}"/>
            </a:ext>
          </a:extLst>
        </xdr:cNvPr>
        <xdr:cNvCxnSpPr/>
      </xdr:nvCxnSpPr>
      <xdr:spPr>
        <a:xfrm>
          <a:off x="4130040" y="869061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34</xdr:row>
      <xdr:rowOff>95250</xdr:rowOff>
    </xdr:from>
    <xdr:to>
      <xdr:col>9</xdr:col>
      <xdr:colOff>140017</xdr:colOff>
      <xdr:row>34</xdr:row>
      <xdr:rowOff>95250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6BF7146A-308E-4EC0-BB88-3D88817F94C3}"/>
            </a:ext>
          </a:extLst>
        </xdr:cNvPr>
        <xdr:cNvCxnSpPr/>
      </xdr:nvCxnSpPr>
      <xdr:spPr>
        <a:xfrm>
          <a:off x="7604760" y="686181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33</xdr:row>
      <xdr:rowOff>115729</xdr:rowOff>
    </xdr:from>
    <xdr:to>
      <xdr:col>10</xdr:col>
      <xdr:colOff>39404</xdr:colOff>
      <xdr:row>35</xdr:row>
      <xdr:rowOff>20479</xdr:rowOff>
    </xdr:to>
    <xdr:sp macro="[1]!selectNode20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EEE7463B-0770-4404-BB43-393944B0374C}"/>
            </a:ext>
          </a:extLst>
        </xdr:cNvPr>
        <xdr:cNvSpPr/>
      </xdr:nvSpPr>
      <xdr:spPr>
        <a:xfrm rot="16200000">
          <a:off x="7887528" y="6596063"/>
          <a:ext cx="270510" cy="47720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34</xdr:row>
      <xdr:rowOff>95250</xdr:rowOff>
    </xdr:from>
    <xdr:to>
      <xdr:col>7</xdr:col>
      <xdr:colOff>304800</xdr:colOff>
      <xdr:row>36</xdr:row>
      <xdr:rowOff>95250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799D5037-514E-46C5-B41E-4E8B55533499}"/>
            </a:ext>
          </a:extLst>
        </xdr:cNvPr>
        <xdr:cNvCxnSpPr/>
      </xdr:nvCxnSpPr>
      <xdr:spPr>
        <a:xfrm flipV="1">
          <a:off x="5821680" y="686181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34</xdr:row>
      <xdr:rowOff>95250</xdr:rowOff>
    </xdr:from>
    <xdr:to>
      <xdr:col>8</xdr:col>
      <xdr:colOff>0</xdr:colOff>
      <xdr:row>34</xdr:row>
      <xdr:rowOff>95250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AE9DDDE0-734A-4696-AB47-F6C654218115}"/>
            </a:ext>
          </a:extLst>
        </xdr:cNvPr>
        <xdr:cNvCxnSpPr/>
      </xdr:nvCxnSpPr>
      <xdr:spPr>
        <a:xfrm>
          <a:off x="6126480" y="686181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38</xdr:row>
      <xdr:rowOff>95250</xdr:rowOff>
    </xdr:from>
    <xdr:to>
      <xdr:col>9</xdr:col>
      <xdr:colOff>140017</xdr:colOff>
      <xdr:row>38</xdr:row>
      <xdr:rowOff>95250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200BB078-1115-4DF3-8E7B-CB26C251431F}"/>
            </a:ext>
          </a:extLst>
        </xdr:cNvPr>
        <xdr:cNvCxnSpPr/>
      </xdr:nvCxnSpPr>
      <xdr:spPr>
        <a:xfrm>
          <a:off x="7604760" y="759333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37</xdr:row>
      <xdr:rowOff>115729</xdr:rowOff>
    </xdr:from>
    <xdr:to>
      <xdr:col>10</xdr:col>
      <xdr:colOff>39404</xdr:colOff>
      <xdr:row>39</xdr:row>
      <xdr:rowOff>20479</xdr:rowOff>
    </xdr:to>
    <xdr:sp macro="[1]!selectNode21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1E6BF535-4723-4F55-B32A-C26AB2D4FA5B}"/>
            </a:ext>
          </a:extLst>
        </xdr:cNvPr>
        <xdr:cNvSpPr/>
      </xdr:nvSpPr>
      <xdr:spPr>
        <a:xfrm rot="16200000">
          <a:off x="7887528" y="7327583"/>
          <a:ext cx="270510" cy="47720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36</xdr:row>
      <xdr:rowOff>95250</xdr:rowOff>
    </xdr:from>
    <xdr:to>
      <xdr:col>7</xdr:col>
      <xdr:colOff>304800</xdr:colOff>
      <xdr:row>38</xdr:row>
      <xdr:rowOff>95250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1427CE20-168F-4A94-870E-3853E41267D6}"/>
            </a:ext>
          </a:extLst>
        </xdr:cNvPr>
        <xdr:cNvCxnSpPr/>
      </xdr:nvCxnSpPr>
      <xdr:spPr>
        <a:xfrm>
          <a:off x="5821680" y="722757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38</xdr:row>
      <xdr:rowOff>95250</xdr:rowOff>
    </xdr:from>
    <xdr:to>
      <xdr:col>8</xdr:col>
      <xdr:colOff>0</xdr:colOff>
      <xdr:row>38</xdr:row>
      <xdr:rowOff>95250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CC5222A-A8C9-4522-BB3D-8B821EA11E6F}"/>
            </a:ext>
          </a:extLst>
        </xdr:cNvPr>
        <xdr:cNvCxnSpPr/>
      </xdr:nvCxnSpPr>
      <xdr:spPr>
        <a:xfrm>
          <a:off x="6126480" y="759333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95250</xdr:rowOff>
    </xdr:from>
    <xdr:to>
      <xdr:col>9</xdr:col>
      <xdr:colOff>140017</xdr:colOff>
      <xdr:row>42</xdr:row>
      <xdr:rowOff>95250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9B260802-EDA9-422E-85FE-314C08231DDC}"/>
            </a:ext>
          </a:extLst>
        </xdr:cNvPr>
        <xdr:cNvCxnSpPr/>
      </xdr:nvCxnSpPr>
      <xdr:spPr>
        <a:xfrm>
          <a:off x="7604760" y="832485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41</xdr:row>
      <xdr:rowOff>115729</xdr:rowOff>
    </xdr:from>
    <xdr:to>
      <xdr:col>10</xdr:col>
      <xdr:colOff>39404</xdr:colOff>
      <xdr:row>43</xdr:row>
      <xdr:rowOff>20479</xdr:rowOff>
    </xdr:to>
    <xdr:sp macro="[1]!selectNode22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E9B52549-677D-4330-9628-68C3B10C12F8}"/>
            </a:ext>
          </a:extLst>
        </xdr:cNvPr>
        <xdr:cNvSpPr/>
      </xdr:nvSpPr>
      <xdr:spPr>
        <a:xfrm rot="16200000">
          <a:off x="7887528" y="8059103"/>
          <a:ext cx="270510" cy="47720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42</xdr:row>
      <xdr:rowOff>95250</xdr:rowOff>
    </xdr:from>
    <xdr:to>
      <xdr:col>7</xdr:col>
      <xdr:colOff>304800</xdr:colOff>
      <xdr:row>44</xdr:row>
      <xdr:rowOff>95250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9ED48D93-E2A1-42EE-8AB5-F61E80201084}"/>
            </a:ext>
          </a:extLst>
        </xdr:cNvPr>
        <xdr:cNvCxnSpPr/>
      </xdr:nvCxnSpPr>
      <xdr:spPr>
        <a:xfrm flipV="1">
          <a:off x="5821680" y="832485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42</xdr:row>
      <xdr:rowOff>95250</xdr:rowOff>
    </xdr:from>
    <xdr:to>
      <xdr:col>8</xdr:col>
      <xdr:colOff>0</xdr:colOff>
      <xdr:row>42</xdr:row>
      <xdr:rowOff>95250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FD73F069-C3D0-43D8-87D4-EF52CDA58973}"/>
            </a:ext>
          </a:extLst>
        </xdr:cNvPr>
        <xdr:cNvCxnSpPr/>
      </xdr:nvCxnSpPr>
      <xdr:spPr>
        <a:xfrm>
          <a:off x="6126480" y="832485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46</xdr:row>
      <xdr:rowOff>95250</xdr:rowOff>
    </xdr:from>
    <xdr:to>
      <xdr:col>9</xdr:col>
      <xdr:colOff>140017</xdr:colOff>
      <xdr:row>46</xdr:row>
      <xdr:rowOff>95250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E378160D-3168-4078-8C35-31B1AE652038}"/>
            </a:ext>
          </a:extLst>
        </xdr:cNvPr>
        <xdr:cNvCxnSpPr/>
      </xdr:nvCxnSpPr>
      <xdr:spPr>
        <a:xfrm>
          <a:off x="7604760" y="905637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179422</xdr:colOff>
      <xdr:row>45</xdr:row>
      <xdr:rowOff>115729</xdr:rowOff>
    </xdr:from>
    <xdr:to>
      <xdr:col>10</xdr:col>
      <xdr:colOff>39404</xdr:colOff>
      <xdr:row>47</xdr:row>
      <xdr:rowOff>20479</xdr:rowOff>
    </xdr:to>
    <xdr:sp macro="[1]!selectNode23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8DA4DED-1F59-4014-AB5E-3A2A0F7E6FC7}"/>
            </a:ext>
          </a:extLst>
        </xdr:cNvPr>
        <xdr:cNvSpPr/>
      </xdr:nvSpPr>
      <xdr:spPr>
        <a:xfrm rot="16200000">
          <a:off x="7887528" y="8790623"/>
          <a:ext cx="270510" cy="477202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0</xdr:colOff>
      <xdr:row>44</xdr:row>
      <xdr:rowOff>95250</xdr:rowOff>
    </xdr:from>
    <xdr:to>
      <xdr:col>7</xdr:col>
      <xdr:colOff>304800</xdr:colOff>
      <xdr:row>46</xdr:row>
      <xdr:rowOff>95250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2EC17989-C87A-4A10-AD23-215BBF72BA72}"/>
            </a:ext>
          </a:extLst>
        </xdr:cNvPr>
        <xdr:cNvCxnSpPr/>
      </xdr:nvCxnSpPr>
      <xdr:spPr>
        <a:xfrm>
          <a:off x="5821680" y="8690610"/>
          <a:ext cx="30480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46</xdr:row>
      <xdr:rowOff>95250</xdr:rowOff>
    </xdr:from>
    <xdr:to>
      <xdr:col>8</xdr:col>
      <xdr:colOff>0</xdr:colOff>
      <xdr:row>46</xdr:row>
      <xdr:rowOff>95250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B63FAFB-0BE0-4E99-BFFB-B2BA35FADCF4}"/>
            </a:ext>
          </a:extLst>
        </xdr:cNvPr>
        <xdr:cNvCxnSpPr/>
      </xdr:nvCxnSpPr>
      <xdr:spPr>
        <a:xfrm>
          <a:off x="6126480" y="905637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Excel%20QM%20v5.3/excelOMQMv5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WShortPath"/>
      <sheetName val="HWMaxFlow"/>
      <sheetName val="V3-V4-V5 History"/>
      <sheetName val="ProjCrash"/>
      <sheetName val="Kanban"/>
      <sheetName val="Installation-wise, MSI,zip"/>
      <sheetName val="v5.2"/>
      <sheetName val="Mac"/>
      <sheetName val="Paste"/>
      <sheetName val="OnLive"/>
      <sheetName val="MenuSheetv5"/>
      <sheetName val="MenuHR9"/>
      <sheetName val="MenuListBox"/>
      <sheetName val="MenuFoster5"/>
      <sheetName val="MenuRSH10"/>
      <sheetName val="MenuRSH11"/>
      <sheetName val="MenuRSH12"/>
      <sheetName val="MenuTaylor10"/>
      <sheetName val="EOQ"/>
      <sheetName val="POQ"/>
      <sheetName val="multiBE"/>
      <sheetName val="ProbDist"/>
      <sheetName val="InvSSNorm"/>
      <sheetName val="WorkMeas"/>
      <sheetName val="Simulation"/>
      <sheetName val="Raw data"/>
      <sheetName val="Frequencies"/>
      <sheetName val="Prob dist"/>
      <sheetName val="Normal"/>
      <sheetName val="Reliability"/>
      <sheetName val="MRPData"/>
      <sheetName val="HJW"/>
      <sheetName val="sqc-1"/>
      <sheetName val="SQC"/>
      <sheetName val="LimitedPop"/>
      <sheetName val="Markov"/>
      <sheetName val="Trans_agg"/>
      <sheetName val="LP_max"/>
      <sheetName val="LP_min"/>
      <sheetName val="IP_max"/>
      <sheetName val="IP_min"/>
      <sheetName val="HWPert"/>
      <sheetName val="Trans_max"/>
      <sheetName val="Trans_min"/>
      <sheetName val="Assign_min"/>
      <sheetName val="Assign_max"/>
      <sheetName val="Game Theory"/>
    </sheetNames>
    <definedNames>
      <definedName name="selectNode1"/>
      <definedName name="selectNode10"/>
      <definedName name="selectNode11"/>
      <definedName name="selectNode12"/>
      <definedName name="selectNode13"/>
      <definedName name="selectNode14"/>
      <definedName name="selectNode15"/>
      <definedName name="selectNode16"/>
      <definedName name="selectNode17"/>
      <definedName name="selectNode18"/>
      <definedName name="selectNode19"/>
      <definedName name="selectNode2"/>
      <definedName name="selectNode20"/>
      <definedName name="selectNode21"/>
      <definedName name="selectNode22"/>
      <definedName name="selectNode23"/>
      <definedName name="selectNode3"/>
      <definedName name="selectNode4"/>
      <definedName name="selectNode5"/>
      <definedName name="selectNode6"/>
      <definedName name="selectNode7"/>
      <definedName name="selectNode8"/>
      <definedName name="selectNode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6"/>
  <sheetViews>
    <sheetView tabSelected="1" topLeftCell="A15" workbookViewId="0">
      <selection activeCell="G26" sqref="G26"/>
    </sheetView>
  </sheetViews>
  <sheetFormatPr defaultRowHeight="14.4" x14ac:dyDescent="0.3"/>
  <cols>
    <col min="1" max="1" width="9.6640625" customWidth="1"/>
    <col min="4" max="4" width="24" bestFit="1" customWidth="1"/>
    <col min="5" max="5" width="17.21875" bestFit="1" customWidth="1"/>
    <col min="6" max="6" width="42.6640625" bestFit="1" customWidth="1"/>
    <col min="7" max="7" width="9.21875" customWidth="1"/>
    <col min="8" max="8" width="17.33203125" customWidth="1"/>
    <col min="9" max="9" width="12" bestFit="1" customWidth="1"/>
    <col min="10" max="10" width="0.21875" customWidth="1"/>
    <col min="11" max="11" width="8.88671875" hidden="1" customWidth="1"/>
    <col min="12" max="12" width="3.21875" hidden="1" customWidth="1"/>
    <col min="13" max="15" width="8.88671875" hidden="1" customWidth="1"/>
    <col min="16" max="16" width="14.88671875" bestFit="1" customWidth="1"/>
    <col min="17" max="17" width="12" customWidth="1"/>
    <col min="18" max="18" width="12.109375" bestFit="1" customWidth="1"/>
  </cols>
  <sheetData>
    <row r="1" spans="1:20" ht="6.6" customHeight="1" thickBot="1" x14ac:dyDescent="0.35"/>
    <row r="2" spans="1:20" ht="15" thickBot="1" x14ac:dyDescent="0.35">
      <c r="A2" t="s">
        <v>2</v>
      </c>
      <c r="C2" s="9" t="s">
        <v>33</v>
      </c>
      <c r="D2" s="10"/>
      <c r="E2" s="10"/>
      <c r="F2" s="10"/>
      <c r="G2" s="10"/>
      <c r="H2" s="10"/>
      <c r="I2" s="11"/>
    </row>
    <row r="3" spans="1:20" ht="15" thickBot="1" x14ac:dyDescent="0.35">
      <c r="A3" t="s">
        <v>1</v>
      </c>
      <c r="C3" s="12">
        <v/>
      </c>
      <c r="D3" s="13"/>
      <c r="E3" s="13"/>
      <c r="F3" s="13"/>
      <c r="G3" s="13"/>
      <c r="H3" s="13"/>
      <c r="I3" s="14"/>
    </row>
    <row r="4" spans="1:20" x14ac:dyDescent="0.3">
      <c r="A4" t="s">
        <v>29</v>
      </c>
    </row>
    <row r="6" spans="1:20" x14ac:dyDescent="0.3">
      <c r="B6" s="3" t="s">
        <v>3</v>
      </c>
      <c r="P6" s="8" t="s">
        <v>35</v>
      </c>
      <c r="Q6" s="8" t="s">
        <v>39</v>
      </c>
      <c r="R6" s="8" t="s">
        <v>40</v>
      </c>
      <c r="S6" s="8" t="s">
        <v>41</v>
      </c>
      <c r="T6" s="8" t="s">
        <v>42</v>
      </c>
    </row>
    <row r="7" spans="1:20" x14ac:dyDescent="0.3">
      <c r="B7" s="3" t="s">
        <v>4</v>
      </c>
      <c r="P7" t="s">
        <v>36</v>
      </c>
      <c r="Q7">
        <f>F23*1.39</f>
        <v>6949.9999999999991</v>
      </c>
      <c r="R7">
        <f>F23*1.1</f>
        <v>5500</v>
      </c>
      <c r="S7">
        <f>0.11*Q7+0.89*R7</f>
        <v>5659.5</v>
      </c>
      <c r="T7">
        <f>0.6*Q7+0.4*R7</f>
        <v>6369.9999999999991</v>
      </c>
    </row>
    <row r="8" spans="1:20" x14ac:dyDescent="0.3">
      <c r="B8" s="3" t="s">
        <v>5</v>
      </c>
      <c r="P8" t="s">
        <v>37</v>
      </c>
      <c r="Q8">
        <f>4*F23</f>
        <v>20000</v>
      </c>
      <c r="R8">
        <f>0.5*F23</f>
        <v>2500</v>
      </c>
      <c r="S8">
        <f t="shared" ref="S8:S9" si="0">0.11*Q8+0.89*R8</f>
        <v>4425</v>
      </c>
      <c r="T8">
        <f t="shared" ref="T8:T9" si="1">0.6*Q8+0.4*R8</f>
        <v>13000</v>
      </c>
    </row>
    <row r="9" spans="1:20" x14ac:dyDescent="0.3">
      <c r="B9" s="3" t="s">
        <v>6</v>
      </c>
      <c r="P9" t="s">
        <v>38</v>
      </c>
      <c r="Q9">
        <f>3*F23</f>
        <v>15000</v>
      </c>
      <c r="R9">
        <f>0*F23</f>
        <v>0</v>
      </c>
      <c r="S9">
        <f t="shared" si="0"/>
        <v>1650</v>
      </c>
      <c r="T9">
        <f t="shared" si="1"/>
        <v>9000</v>
      </c>
    </row>
    <row r="12" spans="1:20" x14ac:dyDescent="0.3">
      <c r="P12" t="s">
        <v>44</v>
      </c>
      <c r="Q12">
        <f>Q8*0.6+R7*0.4</f>
        <v>14200</v>
      </c>
    </row>
    <row r="13" spans="1:20" x14ac:dyDescent="0.3">
      <c r="P13" t="s">
        <v>43</v>
      </c>
      <c r="Q13">
        <f>Q12-T8</f>
        <v>1200</v>
      </c>
    </row>
    <row r="22" spans="1:8" ht="15" thickBot="1" x14ac:dyDescent="0.35"/>
    <row r="23" spans="1:8" ht="15" thickBot="1" x14ac:dyDescent="0.35">
      <c r="A23" t="s">
        <v>32</v>
      </c>
      <c r="E23" s="1" t="s">
        <v>0</v>
      </c>
      <c r="F23" s="2">
        <v>5000</v>
      </c>
      <c r="H23" s="3" t="s">
        <v>34</v>
      </c>
    </row>
    <row r="24" spans="1:8" x14ac:dyDescent="0.3">
      <c r="A24" t="s">
        <v>30</v>
      </c>
    </row>
    <row r="25" spans="1:8" x14ac:dyDescent="0.3">
      <c r="A25" s="4"/>
      <c r="B25" s="4"/>
      <c r="C25" s="4"/>
      <c r="D25" s="4"/>
      <c r="E25" s="4"/>
      <c r="F25" s="4" t="s">
        <v>7</v>
      </c>
      <c r="G25" s="5">
        <v>80000</v>
      </c>
    </row>
    <row r="26" spans="1:8" x14ac:dyDescent="0.3">
      <c r="A26" s="4"/>
      <c r="B26" s="4"/>
      <c r="C26" s="4"/>
      <c r="D26" s="4"/>
      <c r="E26" s="4"/>
      <c r="F26" s="4" t="s">
        <v>8</v>
      </c>
      <c r="G26" s="5">
        <v>64000</v>
      </c>
    </row>
    <row r="27" spans="1:8" x14ac:dyDescent="0.3">
      <c r="A27" s="4"/>
      <c r="B27" s="4"/>
      <c r="C27" s="4"/>
      <c r="D27" s="4"/>
      <c r="E27" s="4"/>
      <c r="F27" s="4" t="s">
        <v>9</v>
      </c>
      <c r="G27" s="5">
        <v>140000</v>
      </c>
    </row>
    <row r="28" spans="1:8" x14ac:dyDescent="0.3">
      <c r="A28" s="4"/>
      <c r="B28" s="4"/>
      <c r="C28" s="4"/>
      <c r="D28" s="4"/>
      <c r="E28" s="4"/>
      <c r="F28" s="4" t="s">
        <v>10</v>
      </c>
      <c r="G28" s="5">
        <v>70000</v>
      </c>
    </row>
    <row r="29" spans="1:8" x14ac:dyDescent="0.3">
      <c r="A29" t="s">
        <v>11</v>
      </c>
      <c r="F29" s="7">
        <v>0.6</v>
      </c>
    </row>
    <row r="30" spans="1:8" x14ac:dyDescent="0.3">
      <c r="A30" t="s">
        <v>12</v>
      </c>
      <c r="F30" s="7">
        <v>0.75</v>
      </c>
    </row>
    <row r="31" spans="1:8" x14ac:dyDescent="0.3">
      <c r="A31" t="s">
        <v>13</v>
      </c>
      <c r="F31" s="7">
        <v>0.4</v>
      </c>
    </row>
    <row r="32" spans="1:8" x14ac:dyDescent="0.3">
      <c r="A32" t="s">
        <v>14</v>
      </c>
      <c r="F32" s="7">
        <v>0.2</v>
      </c>
    </row>
    <row r="33" spans="1:6" x14ac:dyDescent="0.3">
      <c r="A33" t="s">
        <v>15</v>
      </c>
      <c r="F33" s="7">
        <v>0.2</v>
      </c>
    </row>
    <row r="34" spans="1:6" x14ac:dyDescent="0.3">
      <c r="A34" t="s">
        <v>16</v>
      </c>
      <c r="F34" s="7">
        <v>0.7</v>
      </c>
    </row>
    <row r="35" spans="1:6" x14ac:dyDescent="0.3">
      <c r="A35" t="s">
        <v>17</v>
      </c>
      <c r="F35" s="7">
        <v>0.4</v>
      </c>
    </row>
    <row r="36" spans="1:6" x14ac:dyDescent="0.3">
      <c r="A36" s="8" t="s">
        <v>28</v>
      </c>
      <c r="B36" s="8" t="s">
        <v>18</v>
      </c>
      <c r="C36" s="8" t="s">
        <v>52</v>
      </c>
      <c r="D36" s="8" t="s">
        <v>53</v>
      </c>
      <c r="E36" s="8" t="s">
        <v>54</v>
      </c>
      <c r="F36" s="8" t="s">
        <v>55</v>
      </c>
    </row>
    <row r="37" spans="1:6" x14ac:dyDescent="0.3">
      <c r="A37" t="s">
        <v>31</v>
      </c>
      <c r="B37" s="5">
        <v>174000</v>
      </c>
      <c r="C37">
        <f>4066.7*1+177404</f>
        <v>181470.7</v>
      </c>
      <c r="D37">
        <f>B37-C37</f>
        <v>-7470.7000000000116</v>
      </c>
      <c r="E37">
        <f>D37^2</f>
        <v>55811358.490000173</v>
      </c>
      <c r="F37">
        <f>ABS(D37)</f>
        <v>7470.7000000000116</v>
      </c>
    </row>
    <row r="38" spans="1:6" x14ac:dyDescent="0.3">
      <c r="A38" t="s">
        <v>19</v>
      </c>
      <c r="B38" s="5">
        <v>189200.00000000003</v>
      </c>
      <c r="C38">
        <f>4066.7*2+177404</f>
        <v>185537.4</v>
      </c>
      <c r="D38">
        <f t="shared" ref="D38:D46" si="2">B38-C38</f>
        <v>3662.6000000000349</v>
      </c>
      <c r="E38">
        <f t="shared" ref="E38:E45" si="3">D38^2</f>
        <v>13414638.760000255</v>
      </c>
      <c r="F38">
        <f t="shared" ref="F38:F45" si="4">ABS(D38)</f>
        <v>3662.6000000000349</v>
      </c>
    </row>
    <row r="39" spans="1:6" x14ac:dyDescent="0.3">
      <c r="A39" t="s">
        <v>20</v>
      </c>
      <c r="B39" s="5">
        <v>224800</v>
      </c>
      <c r="C39">
        <f>4066.7*3+177404</f>
        <v>189604.1</v>
      </c>
      <c r="D39">
        <f t="shared" si="2"/>
        <v>35195.899999999994</v>
      </c>
      <c r="E39">
        <f t="shared" si="3"/>
        <v>1238751376.8099997</v>
      </c>
      <c r="F39">
        <f t="shared" si="4"/>
        <v>35195.899999999994</v>
      </c>
    </row>
    <row r="40" spans="1:6" x14ac:dyDescent="0.3">
      <c r="A40" t="s">
        <v>21</v>
      </c>
      <c r="B40" s="5">
        <v>180400</v>
      </c>
      <c r="C40">
        <f>4066.7*4+177404</f>
        <v>193670.8</v>
      </c>
      <c r="D40">
        <f t="shared" si="2"/>
        <v>-13270.799999999988</v>
      </c>
      <c r="E40">
        <f t="shared" si="3"/>
        <v>176114132.63999969</v>
      </c>
      <c r="F40">
        <f t="shared" si="4"/>
        <v>13270.799999999988</v>
      </c>
    </row>
    <row r="41" spans="1:6" x14ac:dyDescent="0.3">
      <c r="A41" t="s">
        <v>22</v>
      </c>
      <c r="B41" s="5">
        <v>186840</v>
      </c>
      <c r="C41">
        <f>4066.7*5+177404</f>
        <v>197737.5</v>
      </c>
      <c r="D41">
        <f t="shared" si="2"/>
        <v>-10897.5</v>
      </c>
      <c r="E41">
        <f t="shared" si="3"/>
        <v>118755506.25</v>
      </c>
      <c r="F41">
        <f t="shared" si="4"/>
        <v>10897.5</v>
      </c>
    </row>
    <row r="42" spans="1:6" x14ac:dyDescent="0.3">
      <c r="A42" t="s">
        <v>23</v>
      </c>
      <c r="B42" s="5">
        <v>186000</v>
      </c>
      <c r="C42">
        <f>4066.7*6+177404</f>
        <v>201804.2</v>
      </c>
      <c r="D42">
        <f t="shared" si="2"/>
        <v>-15804.200000000012</v>
      </c>
      <c r="E42">
        <f t="shared" si="3"/>
        <v>249772737.64000037</v>
      </c>
      <c r="F42">
        <f t="shared" si="4"/>
        <v>15804.200000000012</v>
      </c>
    </row>
    <row r="43" spans="1:6" x14ac:dyDescent="0.3">
      <c r="A43" t="s">
        <v>24</v>
      </c>
      <c r="B43" s="5">
        <v>196800</v>
      </c>
      <c r="C43">
        <f>4066.7*7+177404</f>
        <v>205870.9</v>
      </c>
      <c r="D43">
        <f t="shared" si="2"/>
        <v>-9070.8999999999942</v>
      </c>
      <c r="E43">
        <f t="shared" si="3"/>
        <v>82281226.809999898</v>
      </c>
      <c r="F43">
        <f t="shared" si="4"/>
        <v>9070.8999999999942</v>
      </c>
    </row>
    <row r="44" spans="1:6" x14ac:dyDescent="0.3">
      <c r="A44" t="s">
        <v>25</v>
      </c>
      <c r="B44" s="5">
        <v>208400</v>
      </c>
      <c r="C44">
        <f>4066.7*8+177404</f>
        <v>209937.6</v>
      </c>
      <c r="D44">
        <f t="shared" si="2"/>
        <v>-1537.6000000000058</v>
      </c>
      <c r="E44">
        <f t="shared" si="3"/>
        <v>2364213.7600000179</v>
      </c>
      <c r="F44">
        <f t="shared" si="4"/>
        <v>1537.6000000000058</v>
      </c>
    </row>
    <row r="45" spans="1:6" x14ac:dyDescent="0.3">
      <c r="A45" t="s">
        <v>26</v>
      </c>
      <c r="B45" s="5">
        <v>233200</v>
      </c>
      <c r="C45">
        <f>4066.7*9+177404</f>
        <v>214004.3</v>
      </c>
      <c r="D45">
        <f t="shared" si="2"/>
        <v>19195.700000000012</v>
      </c>
      <c r="E45">
        <f t="shared" si="3"/>
        <v>368474898.49000043</v>
      </c>
      <c r="F45">
        <f t="shared" si="4"/>
        <v>19195.700000000012</v>
      </c>
    </row>
    <row r="46" spans="1:6" x14ac:dyDescent="0.3">
      <c r="A46" t="s">
        <v>27</v>
      </c>
      <c r="B46" s="6"/>
      <c r="C46" s="8">
        <f>4066.7*10+177404</f>
        <v>218071</v>
      </c>
      <c r="D46">
        <f t="shared" si="2"/>
        <v>-218071</v>
      </c>
      <c r="E46" s="8">
        <f>AVERAGE(E37:E45)</f>
        <v>256193343.2944445</v>
      </c>
      <c r="F46" s="8">
        <f>AVERAGE(F37:F45)</f>
        <v>12900.655555555561</v>
      </c>
    </row>
    <row r="47" spans="1:6" x14ac:dyDescent="0.3">
      <c r="E47" t="s">
        <v>54</v>
      </c>
      <c r="F47" t="s">
        <v>56</v>
      </c>
    </row>
    <row r="50" spans="1:10" x14ac:dyDescent="0.3">
      <c r="A50" t="s">
        <v>57</v>
      </c>
      <c r="B50" s="20">
        <v>0.8</v>
      </c>
      <c r="C50" t="s">
        <v>80</v>
      </c>
    </row>
    <row r="51" spans="1:10" x14ac:dyDescent="0.3">
      <c r="A51" t="s">
        <v>58</v>
      </c>
      <c r="B51" s="20">
        <v>0.2</v>
      </c>
      <c r="C51" t="s">
        <v>80</v>
      </c>
    </row>
    <row r="52" spans="1:10" x14ac:dyDescent="0.3">
      <c r="A52" t="s">
        <v>59</v>
      </c>
      <c r="B52" s="20"/>
      <c r="D52" t="s">
        <v>60</v>
      </c>
    </row>
    <row r="53" spans="1:10" x14ac:dyDescent="0.3">
      <c r="A53" s="8" t="s">
        <v>84</v>
      </c>
      <c r="B53" s="22" t="s">
        <v>61</v>
      </c>
      <c r="C53" s="8"/>
      <c r="D53" s="8" t="s">
        <v>81</v>
      </c>
      <c r="E53" s="8" t="s">
        <v>82</v>
      </c>
      <c r="F53" s="8" t="s">
        <v>83</v>
      </c>
      <c r="G53" s="8" t="s">
        <v>53</v>
      </c>
      <c r="H53" s="8" t="s">
        <v>62</v>
      </c>
      <c r="I53" s="8" t="s">
        <v>63</v>
      </c>
      <c r="J53" s="8" t="s">
        <v>64</v>
      </c>
    </row>
    <row r="54" spans="1:10" x14ac:dyDescent="0.3">
      <c r="A54" t="s">
        <v>65</v>
      </c>
      <c r="B54" s="20">
        <v>174000</v>
      </c>
      <c r="D54">
        <v>174000</v>
      </c>
      <c r="F54">
        <v>174000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66</v>
      </c>
      <c r="B55" s="20">
        <v>189200.00000000003</v>
      </c>
      <c r="D55">
        <v>174000</v>
      </c>
      <c r="E55">
        <v>0</v>
      </c>
      <c r="F55">
        <v>174000</v>
      </c>
      <c r="G55">
        <v>15200.000000000029</v>
      </c>
      <c r="H55">
        <v>15200.000000000029</v>
      </c>
      <c r="I55">
        <v>231040000.00000089</v>
      </c>
      <c r="J55">
        <v>8.0338266384778159E-2</v>
      </c>
    </row>
    <row r="56" spans="1:10" x14ac:dyDescent="0.3">
      <c r="A56" t="s">
        <v>67</v>
      </c>
      <c r="B56" s="20">
        <v>224800</v>
      </c>
      <c r="D56">
        <v>186160.00000000003</v>
      </c>
      <c r="E56">
        <v>2432.0000000000059</v>
      </c>
      <c r="F56">
        <v>188592.00000000003</v>
      </c>
      <c r="G56">
        <v>36207.999999999971</v>
      </c>
      <c r="H56">
        <v>36207.999999999971</v>
      </c>
      <c r="I56">
        <v>1311019263.9999979</v>
      </c>
      <c r="J56">
        <v>0.16106761565836286</v>
      </c>
    </row>
    <row r="57" spans="1:10" x14ac:dyDescent="0.3">
      <c r="A57" t="s">
        <v>68</v>
      </c>
      <c r="B57" s="20">
        <v>180400</v>
      </c>
      <c r="D57">
        <v>217558.39999999999</v>
      </c>
      <c r="E57">
        <v>8225.2799999999988</v>
      </c>
      <c r="F57">
        <v>225783.67999999999</v>
      </c>
      <c r="G57">
        <v>-45383.679999999993</v>
      </c>
      <c r="H57">
        <v>45383.679999999993</v>
      </c>
      <c r="I57">
        <v>2059678410.3423994</v>
      </c>
      <c r="J57">
        <v>0.25157250554323723</v>
      </c>
    </row>
    <row r="58" spans="1:10" x14ac:dyDescent="0.3">
      <c r="A58" t="s">
        <v>69</v>
      </c>
      <c r="B58" s="20">
        <v>186840</v>
      </c>
      <c r="D58">
        <v>189476.73599999998</v>
      </c>
      <c r="E58">
        <v>963.89119999999548</v>
      </c>
      <c r="F58">
        <v>190440.62719999996</v>
      </c>
      <c r="G58">
        <v>-3600.627199999959</v>
      </c>
      <c r="H58">
        <v>3600.627199999959</v>
      </c>
      <c r="I58">
        <v>12964516.233379545</v>
      </c>
      <c r="J58">
        <v>1.9271179618925063E-2</v>
      </c>
    </row>
    <row r="59" spans="1:10" x14ac:dyDescent="0.3">
      <c r="A59" t="s">
        <v>70</v>
      </c>
      <c r="B59" s="21">
        <v>186000</v>
      </c>
      <c r="C59" s="8"/>
      <c r="D59">
        <v>187560.12543999997</v>
      </c>
      <c r="E59">
        <v>387.79084799999617</v>
      </c>
      <c r="F59">
        <v>187947.91628799998</v>
      </c>
      <c r="G59">
        <v>-1947.9162879999785</v>
      </c>
      <c r="H59">
        <v>1947.9162879999785</v>
      </c>
      <c r="I59">
        <v>3794377.8650556151</v>
      </c>
      <c r="J59">
        <v>1.0472668215053648E-2</v>
      </c>
    </row>
    <row r="60" spans="1:10" x14ac:dyDescent="0.3">
      <c r="A60" t="s">
        <v>71</v>
      </c>
      <c r="B60">
        <v>196800</v>
      </c>
      <c r="D60">
        <v>186389.5832576</v>
      </c>
      <c r="E60">
        <v>76.124241920001253</v>
      </c>
      <c r="F60">
        <v>186465.70749952001</v>
      </c>
      <c r="G60">
        <v>10334.292500479991</v>
      </c>
      <c r="H60">
        <v>10334.292500479991</v>
      </c>
      <c r="I60">
        <v>106797601.48547699</v>
      </c>
      <c r="J60">
        <v>5.25116488845528E-2</v>
      </c>
    </row>
    <row r="61" spans="1:10" x14ac:dyDescent="0.3">
      <c r="A61" t="s">
        <v>72</v>
      </c>
      <c r="B61">
        <v>208400</v>
      </c>
      <c r="D61">
        <v>194733.14149990398</v>
      </c>
      <c r="E61">
        <v>1729.6110419967988</v>
      </c>
      <c r="F61">
        <v>196462.75254190079</v>
      </c>
      <c r="G61">
        <v>11937.247458099213</v>
      </c>
      <c r="H61">
        <v>11937.247458099213</v>
      </c>
      <c r="I61">
        <v>142497876.87589613</v>
      </c>
      <c r="J61">
        <v>5.7280458052299484E-2</v>
      </c>
    </row>
    <row r="62" spans="1:10" x14ac:dyDescent="0.3">
      <c r="A62" t="s">
        <v>73</v>
      </c>
      <c r="B62">
        <v>233200</v>
      </c>
      <c r="D62">
        <v>206012.55050838014</v>
      </c>
      <c r="E62">
        <v>3639.5706352926704</v>
      </c>
      <c r="F62">
        <v>209652.12114367282</v>
      </c>
      <c r="G62">
        <v>23547.878856327181</v>
      </c>
      <c r="H62">
        <v>23547.878856327181</v>
      </c>
      <c r="I62">
        <v>554502598.63226068</v>
      </c>
      <c r="J62">
        <v>0.10097718205972205</v>
      </c>
    </row>
    <row r="63" spans="1:10" x14ac:dyDescent="0.3">
      <c r="B63" t="s">
        <v>74</v>
      </c>
      <c r="D63">
        <v>228490.42422873457</v>
      </c>
      <c r="E63">
        <v>7407.2312523050232</v>
      </c>
      <c r="F63">
        <v>235897.6554810396</v>
      </c>
    </row>
    <row r="64" spans="1:10" x14ac:dyDescent="0.3">
      <c r="D64" t="s">
        <v>75</v>
      </c>
      <c r="G64">
        <v>46295.195326906454</v>
      </c>
      <c r="H64">
        <v>148159.64230290632</v>
      </c>
      <c r="I64">
        <v>4422294645.4344664</v>
      </c>
      <c r="J64">
        <v>0.73349152441693144</v>
      </c>
    </row>
    <row r="65" spans="1:10" x14ac:dyDescent="0.3">
      <c r="D65" t="s">
        <v>76</v>
      </c>
      <c r="G65">
        <v>5786.8994158633068</v>
      </c>
      <c r="H65">
        <v>18519.955287863289</v>
      </c>
      <c r="I65">
        <v>552786830.6793083</v>
      </c>
      <c r="J65">
        <v>9.168644055211643E-2</v>
      </c>
    </row>
    <row r="66" spans="1:10" x14ac:dyDescent="0.3">
      <c r="G66" s="8" t="s">
        <v>77</v>
      </c>
      <c r="H66" s="8" t="s">
        <v>56</v>
      </c>
      <c r="I66" s="8" t="s">
        <v>54</v>
      </c>
      <c r="J66" s="8" t="s">
        <v>78</v>
      </c>
    </row>
    <row r="67" spans="1:10" x14ac:dyDescent="0.3">
      <c r="H67" t="s">
        <v>79</v>
      </c>
      <c r="I67">
        <v>25134.764329891965</v>
      </c>
    </row>
    <row r="69" spans="1:10" x14ac:dyDescent="0.3">
      <c r="A69" t="s">
        <v>57</v>
      </c>
      <c r="B69">
        <v>0.2</v>
      </c>
      <c r="C69" t="s">
        <v>80</v>
      </c>
    </row>
    <row r="70" spans="1:10" x14ac:dyDescent="0.3">
      <c r="A70" t="s">
        <v>58</v>
      </c>
      <c r="B70">
        <v>0.8</v>
      </c>
      <c r="C70" t="s">
        <v>80</v>
      </c>
    </row>
    <row r="71" spans="1:10" x14ac:dyDescent="0.3">
      <c r="A71" t="s">
        <v>59</v>
      </c>
      <c r="D71" t="s">
        <v>60</v>
      </c>
    </row>
    <row r="72" spans="1:10" x14ac:dyDescent="0.3">
      <c r="A72" s="8" t="s">
        <v>84</v>
      </c>
      <c r="B72" s="8" t="s">
        <v>61</v>
      </c>
      <c r="C72" s="8"/>
      <c r="D72" s="8" t="s">
        <v>81</v>
      </c>
      <c r="E72" s="8" t="s">
        <v>82</v>
      </c>
      <c r="F72" s="8" t="s">
        <v>83</v>
      </c>
      <c r="G72" s="8" t="s">
        <v>53</v>
      </c>
      <c r="H72" s="8" t="s">
        <v>62</v>
      </c>
      <c r="I72" s="8" t="s">
        <v>63</v>
      </c>
      <c r="J72" s="8" t="s">
        <v>64</v>
      </c>
    </row>
    <row r="73" spans="1:10" x14ac:dyDescent="0.3">
      <c r="A73" t="s">
        <v>65</v>
      </c>
      <c r="B73">
        <v>174000</v>
      </c>
      <c r="D73">
        <v>174000</v>
      </c>
      <c r="F73">
        <v>174000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t="s">
        <v>66</v>
      </c>
      <c r="B74">
        <v>189200.00000000003</v>
      </c>
      <c r="D74">
        <v>174000</v>
      </c>
      <c r="E74">
        <v>0</v>
      </c>
      <c r="F74">
        <v>174000</v>
      </c>
      <c r="G74">
        <v>15200.000000000029</v>
      </c>
      <c r="H74">
        <v>15200.000000000029</v>
      </c>
      <c r="I74">
        <v>231040000.00000089</v>
      </c>
      <c r="J74">
        <v>8.0338266384778159E-2</v>
      </c>
    </row>
    <row r="75" spans="1:10" x14ac:dyDescent="0.3">
      <c r="A75" t="s">
        <v>67</v>
      </c>
      <c r="B75">
        <v>224800</v>
      </c>
      <c r="D75">
        <v>177040</v>
      </c>
      <c r="E75">
        <v>2432</v>
      </c>
      <c r="F75">
        <v>179472</v>
      </c>
      <c r="G75">
        <v>45328</v>
      </c>
      <c r="H75">
        <v>45328</v>
      </c>
      <c r="I75">
        <v>2054627584</v>
      </c>
      <c r="J75">
        <v>0.20163701067615658</v>
      </c>
    </row>
    <row r="76" spans="1:10" x14ac:dyDescent="0.3">
      <c r="A76" t="s">
        <v>68</v>
      </c>
      <c r="B76">
        <v>180400</v>
      </c>
      <c r="D76">
        <v>188537.60000000001</v>
      </c>
      <c r="E76">
        <v>9684.480000000005</v>
      </c>
      <c r="F76">
        <v>198222.08000000002</v>
      </c>
      <c r="G76">
        <v>-17822.080000000016</v>
      </c>
      <c r="H76">
        <v>17822.080000000016</v>
      </c>
      <c r="I76">
        <v>317626535.52640057</v>
      </c>
      <c r="J76">
        <v>9.8792017738359286E-2</v>
      </c>
    </row>
    <row r="77" spans="1:10" x14ac:dyDescent="0.3">
      <c r="A77" t="s">
        <v>69</v>
      </c>
      <c r="B77">
        <v>186840</v>
      </c>
      <c r="D77">
        <v>194657.66400000002</v>
      </c>
      <c r="E77">
        <v>6832.9472000000114</v>
      </c>
      <c r="F77">
        <v>201490.61120000004</v>
      </c>
      <c r="G77">
        <v>-14650.611200000043</v>
      </c>
      <c r="H77">
        <v>14650.611200000043</v>
      </c>
      <c r="I77">
        <v>214640408.53356671</v>
      </c>
      <c r="J77">
        <v>7.8412605437807981E-2</v>
      </c>
    </row>
    <row r="78" spans="1:10" x14ac:dyDescent="0.3">
      <c r="A78" t="s">
        <v>70</v>
      </c>
      <c r="B78">
        <v>186000</v>
      </c>
      <c r="D78">
        <v>198560.48896000005</v>
      </c>
      <c r="E78">
        <v>4488.8494080000237</v>
      </c>
      <c r="F78">
        <v>203049.33836800006</v>
      </c>
      <c r="G78">
        <v>-17049.338368000055</v>
      </c>
      <c r="H78">
        <v>17049.338368000055</v>
      </c>
      <c r="I78">
        <v>290679938.78655881</v>
      </c>
      <c r="J78">
        <v>9.1663109505376636E-2</v>
      </c>
    </row>
    <row r="79" spans="1:10" x14ac:dyDescent="0.3">
      <c r="A79" t="s">
        <v>71</v>
      </c>
      <c r="B79">
        <v>196800</v>
      </c>
      <c r="D79">
        <v>199639.47069440005</v>
      </c>
      <c r="E79">
        <v>1760.9552691200076</v>
      </c>
      <c r="F79">
        <v>201400.42596352004</v>
      </c>
      <c r="G79">
        <v>-4600.4259635200433</v>
      </c>
      <c r="H79">
        <v>4600.4259635200433</v>
      </c>
      <c r="I79">
        <v>21163919.045829318</v>
      </c>
      <c r="J79">
        <v>2.3376148188618107E-2</v>
      </c>
    </row>
    <row r="80" spans="1:10" x14ac:dyDescent="0.3">
      <c r="A80" t="s">
        <v>72</v>
      </c>
      <c r="B80">
        <v>208400</v>
      </c>
      <c r="D80">
        <v>200480.34077081605</v>
      </c>
      <c r="E80">
        <v>1024.8871149568033</v>
      </c>
      <c r="F80">
        <v>201505.22788577285</v>
      </c>
      <c r="G80">
        <v>6894.7721142271475</v>
      </c>
      <c r="H80">
        <v>6894.7721142271475</v>
      </c>
      <c r="I80">
        <v>47537882.50712429</v>
      </c>
      <c r="J80">
        <v>3.3084319166157138E-2</v>
      </c>
    </row>
    <row r="81" spans="1:10" x14ac:dyDescent="0.3">
      <c r="A81" t="s">
        <v>73</v>
      </c>
      <c r="B81">
        <v>233200</v>
      </c>
      <c r="D81">
        <v>202884.1823086183</v>
      </c>
      <c r="E81">
        <v>2128.0506532331588</v>
      </c>
      <c r="F81">
        <v>205012.23296185146</v>
      </c>
      <c r="G81">
        <v>28187.767038148537</v>
      </c>
      <c r="H81">
        <v>28187.767038148537</v>
      </c>
      <c r="I81">
        <v>794550210.59693313</v>
      </c>
      <c r="J81">
        <v>0.12087378661298687</v>
      </c>
    </row>
    <row r="82" spans="1:10" x14ac:dyDescent="0.3">
      <c r="B82" t="s">
        <v>74</v>
      </c>
      <c r="D82">
        <v>210649.78636948118</v>
      </c>
      <c r="E82">
        <v>6638.0933793369386</v>
      </c>
      <c r="F82">
        <v>217287.87974881812</v>
      </c>
    </row>
    <row r="83" spans="1:10" x14ac:dyDescent="0.3">
      <c r="D83" t="s">
        <v>75</v>
      </c>
      <c r="G83">
        <v>41488.083620855556</v>
      </c>
      <c r="H83">
        <v>149732.99468389587</v>
      </c>
      <c r="I83">
        <v>3971866478.9964132</v>
      </c>
      <c r="J83">
        <v>0.72817726371024072</v>
      </c>
    </row>
    <row r="84" spans="1:10" x14ac:dyDescent="0.3">
      <c r="D84" t="s">
        <v>76</v>
      </c>
      <c r="G84">
        <v>5186.0104526069445</v>
      </c>
      <c r="H84">
        <v>18716.624335486984</v>
      </c>
      <c r="I84">
        <v>496483309.87455165</v>
      </c>
      <c r="J84">
        <v>9.102215796378009E-2</v>
      </c>
    </row>
    <row r="85" spans="1:10" x14ac:dyDescent="0.3">
      <c r="G85" s="8" t="s">
        <v>77</v>
      </c>
      <c r="H85" s="8" t="s">
        <v>56</v>
      </c>
      <c r="I85" s="8" t="s">
        <v>54</v>
      </c>
      <c r="J85" s="8" t="s">
        <v>78</v>
      </c>
    </row>
    <row r="86" spans="1:10" x14ac:dyDescent="0.3">
      <c r="H86" t="s">
        <v>79</v>
      </c>
      <c r="I86">
        <v>23820.358876378996</v>
      </c>
    </row>
  </sheetData>
  <mergeCells count="2">
    <mergeCell ref="C2:I2"/>
    <mergeCell ref="C3:I3"/>
  </mergeCells>
  <pageMargins left="0.7" right="0.7" top="0.75" bottom="0.75" header="0.3" footer="0.3"/>
  <pageSetup paperSize="9" orientation="portrait" horizontalDpi="4294967293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15</xdr:col>
                <xdr:colOff>0</xdr:colOff>
                <xdr:row>1</xdr:row>
                <xdr:rowOff>7620</xdr:rowOff>
              </from>
              <to>
                <xdr:col>16</xdr:col>
                <xdr:colOff>708660</xdr:colOff>
                <xdr:row>2</xdr:row>
                <xdr:rowOff>160020</xdr:rowOff>
              </to>
            </anchor>
          </controlPr>
        </control>
      </mc:Choice>
      <mc:Fallback>
        <control shapeId="1025" r:id="rId4" name="CommandButton1"/>
      </mc:Fallback>
    </mc:AlternateContent>
    <mc:AlternateContent xmlns:mc="http://schemas.openxmlformats.org/markup-compatibility/2006">
      <mc:Choice Requires="x14">
        <control shapeId="1028" r:id="rId6" name="ComboBox1">
          <controlPr defaultSize="0" autoLine="0" linkedCell="H23" listFillRange="B6:B9" r:id="rId7">
            <anchor moveWithCells="1">
              <from>
                <xdr:col>5</xdr:col>
                <xdr:colOff>342900</xdr:colOff>
                <xdr:row>2</xdr:row>
                <xdr:rowOff>175260</xdr:rowOff>
              </from>
              <to>
                <xdr:col>5</xdr:col>
                <xdr:colOff>2819400</xdr:colOff>
                <xdr:row>4</xdr:row>
                <xdr:rowOff>15240</xdr:rowOff>
              </to>
            </anchor>
          </controlPr>
        </control>
      </mc:Choice>
      <mc:Fallback>
        <control shapeId="1028" r:id="rId6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CC4B-382F-4EA7-AF11-0FCA73CC5D57}">
  <dimension ref="A1:N49"/>
  <sheetViews>
    <sheetView workbookViewId="0">
      <selection activeCell="R32" sqref="R32"/>
    </sheetView>
  </sheetViews>
  <sheetFormatPr defaultRowHeight="14.4" x14ac:dyDescent="0.3"/>
  <sheetData>
    <row r="1" spans="1:14" x14ac:dyDescent="0.3">
      <c r="A1" s="15"/>
      <c r="B1" s="15">
        <v>80000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6"/>
      <c r="B2" s="15">
        <v>64000</v>
      </c>
      <c r="C2" s="15"/>
      <c r="D2" s="15"/>
      <c r="E2" s="15"/>
      <c r="F2" s="15"/>
      <c r="G2" s="15"/>
      <c r="H2" s="15"/>
      <c r="I2" s="15"/>
      <c r="J2" s="15"/>
      <c r="K2" s="15"/>
      <c r="L2" s="17">
        <v>0.75</v>
      </c>
      <c r="M2" s="15"/>
      <c r="N2" s="15"/>
    </row>
    <row r="3" spans="1:14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8" t="s">
        <v>45</v>
      </c>
      <c r="M3" s="15">
        <v>10</v>
      </c>
      <c r="N3" s="15">
        <f>L4+I6+F10+C18</f>
        <v>58000</v>
      </c>
    </row>
    <row r="4" spans="1:14" x14ac:dyDescent="0.3">
      <c r="A4" s="16"/>
      <c r="B4" s="15"/>
      <c r="C4" s="15"/>
      <c r="D4" s="15"/>
      <c r="E4" s="15"/>
      <c r="F4" s="15"/>
      <c r="G4" s="15"/>
      <c r="H4" s="15"/>
      <c r="I4" s="15"/>
      <c r="J4" s="19">
        <f>L4*L2+L8*L6</f>
        <v>40500</v>
      </c>
      <c r="K4" s="15"/>
      <c r="L4" s="17">
        <f>140000-2000-B1</f>
        <v>58000</v>
      </c>
      <c r="M4" s="15"/>
      <c r="N4" s="15"/>
    </row>
    <row r="5" spans="1:14" x14ac:dyDescent="0.3">
      <c r="A5" s="15"/>
      <c r="B5" s="15"/>
      <c r="C5" s="15"/>
      <c r="D5" s="15"/>
      <c r="E5" s="15"/>
      <c r="F5" s="15"/>
      <c r="G5" s="15"/>
      <c r="H5" s="15"/>
      <c r="I5" s="18" t="s">
        <v>46</v>
      </c>
      <c r="J5" s="15">
        <v>6</v>
      </c>
      <c r="K5" s="15"/>
      <c r="L5" s="15"/>
      <c r="M5" s="15"/>
      <c r="N5" s="15"/>
    </row>
    <row r="6" spans="1:14" x14ac:dyDescent="0.3">
      <c r="A6" s="15"/>
      <c r="B6" s="15"/>
      <c r="C6" s="15"/>
      <c r="D6" s="15"/>
      <c r="E6" s="15"/>
      <c r="F6" s="15"/>
      <c r="G6" s="15"/>
      <c r="H6" s="15"/>
      <c r="I6" s="17">
        <v>0</v>
      </c>
      <c r="J6" s="15"/>
      <c r="K6" s="15"/>
      <c r="L6" s="17">
        <f>1-L2</f>
        <v>0.25</v>
      </c>
      <c r="M6" s="15"/>
      <c r="N6" s="15"/>
    </row>
    <row r="7" spans="1:14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8" t="s">
        <v>40</v>
      </c>
      <c r="M7" s="15">
        <v>11</v>
      </c>
      <c r="N7" s="15">
        <f>L8+I6+F10+C18</f>
        <v>-12000</v>
      </c>
    </row>
    <row r="8" spans="1:14" x14ac:dyDescent="0.3">
      <c r="A8" s="15"/>
      <c r="B8" s="15"/>
      <c r="C8" s="15"/>
      <c r="D8" s="15"/>
      <c r="E8" s="15"/>
      <c r="F8" s="17">
        <f>0.6</f>
        <v>0.6</v>
      </c>
      <c r="G8" s="16">
        <f>MAX(J4+I6,J12+I14)</f>
        <v>40500</v>
      </c>
      <c r="H8" s="15"/>
      <c r="I8" s="15"/>
      <c r="J8" s="15"/>
      <c r="K8" s="15"/>
      <c r="L8" s="17">
        <f>70000-2000-B1</f>
        <v>-12000</v>
      </c>
      <c r="M8" s="15"/>
      <c r="N8" s="15"/>
    </row>
    <row r="9" spans="1:14" x14ac:dyDescent="0.3">
      <c r="A9" s="15"/>
      <c r="B9" s="15"/>
      <c r="C9" s="15"/>
      <c r="D9" s="15"/>
      <c r="E9" s="15"/>
      <c r="F9" s="18" t="s">
        <v>47</v>
      </c>
      <c r="G9" s="15">
        <v>4</v>
      </c>
      <c r="H9" s="15"/>
      <c r="I9" s="15"/>
      <c r="J9" s="15"/>
      <c r="K9" s="15"/>
      <c r="L9" s="15"/>
      <c r="M9" s="15"/>
      <c r="N9" s="15"/>
    </row>
    <row r="10" spans="1:14" x14ac:dyDescent="0.3">
      <c r="A10" s="15"/>
      <c r="B10" s="15"/>
      <c r="C10" s="15"/>
      <c r="D10" s="15"/>
      <c r="E10" s="15"/>
      <c r="F10" s="17">
        <v>0</v>
      </c>
      <c r="G10" s="16">
        <f>IF(G8=J4+I6,J5,IF(G8=J12+I14,J13))</f>
        <v>6</v>
      </c>
      <c r="H10" s="15"/>
      <c r="I10" s="15"/>
      <c r="J10" s="15"/>
      <c r="K10" s="15"/>
      <c r="L10" s="17">
        <f>0.4</f>
        <v>0.4</v>
      </c>
      <c r="M10" s="15"/>
      <c r="N10" s="15"/>
    </row>
    <row r="11" spans="1:14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8" t="s">
        <v>45</v>
      </c>
      <c r="M11" s="15">
        <v>14</v>
      </c>
      <c r="N11" s="15">
        <f>L12+I14+F10+C18</f>
        <v>74000</v>
      </c>
    </row>
    <row r="12" spans="1:14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9">
        <f>L12*L10+L16*L14</f>
        <v>32000</v>
      </c>
      <c r="K12" s="15"/>
      <c r="L12" s="17">
        <f>140000-2000-B2</f>
        <v>74000</v>
      </c>
      <c r="M12" s="15"/>
      <c r="N12" s="15"/>
    </row>
    <row r="13" spans="1:14" x14ac:dyDescent="0.3">
      <c r="A13" s="15"/>
      <c r="B13" s="15"/>
      <c r="C13" s="15"/>
      <c r="D13" s="15"/>
      <c r="E13" s="15"/>
      <c r="F13" s="15"/>
      <c r="G13" s="15"/>
      <c r="H13" s="15"/>
      <c r="I13" s="18" t="s">
        <v>48</v>
      </c>
      <c r="J13" s="15">
        <v>7</v>
      </c>
      <c r="K13" s="15"/>
      <c r="L13" s="15"/>
      <c r="M13" s="15"/>
      <c r="N13" s="15"/>
    </row>
    <row r="14" spans="1:14" x14ac:dyDescent="0.3">
      <c r="A14" s="15"/>
      <c r="B14" s="15"/>
      <c r="C14" s="15"/>
      <c r="D14" s="15"/>
      <c r="E14" s="15"/>
      <c r="F14" s="15"/>
      <c r="G14" s="15"/>
      <c r="H14" s="15"/>
      <c r="I14" s="17">
        <v>0</v>
      </c>
      <c r="J14" s="15"/>
      <c r="K14" s="15"/>
      <c r="L14" s="17">
        <f>1-L10</f>
        <v>0.6</v>
      </c>
      <c r="M14" s="15"/>
      <c r="N14" s="15"/>
    </row>
    <row r="15" spans="1:14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8" t="s">
        <v>40</v>
      </c>
      <c r="M15" s="15">
        <v>15</v>
      </c>
      <c r="N15" s="15">
        <f>L16+I14+F10+C18</f>
        <v>4000</v>
      </c>
    </row>
    <row r="16" spans="1:14" x14ac:dyDescent="0.3">
      <c r="A16" s="15"/>
      <c r="B16" s="15"/>
      <c r="C16" s="15"/>
      <c r="D16" s="19">
        <f>F8*(G8+F10)+F24*(G24+F26)</f>
        <v>31500</v>
      </c>
      <c r="E16" s="15"/>
      <c r="F16" s="15"/>
      <c r="G16" s="15"/>
      <c r="H16" s="15"/>
      <c r="I16" s="15"/>
      <c r="J16" s="15"/>
      <c r="K16" s="15"/>
      <c r="L16" s="17">
        <f>70000-2000-B2</f>
        <v>4000</v>
      </c>
      <c r="M16" s="15"/>
      <c r="N16" s="15"/>
    </row>
    <row r="17" spans="1:14" x14ac:dyDescent="0.3">
      <c r="A17" s="15"/>
      <c r="B17" s="15"/>
      <c r="C17" s="18" t="s">
        <v>49</v>
      </c>
      <c r="D17" s="15">
        <v>2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3">
      <c r="A18" s="15"/>
      <c r="B18" s="15"/>
      <c r="C18" s="17">
        <v>0</v>
      </c>
      <c r="D18" s="15"/>
      <c r="E18" s="15"/>
      <c r="F18" s="15"/>
      <c r="G18" s="15"/>
      <c r="H18" s="15"/>
      <c r="I18" s="15"/>
      <c r="J18" s="15"/>
      <c r="K18" s="15"/>
      <c r="L18" s="17">
        <v>0.2</v>
      </c>
      <c r="M18" s="15"/>
      <c r="N18" s="15"/>
    </row>
    <row r="19" spans="1:1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8" t="s">
        <v>45</v>
      </c>
      <c r="M19" s="15">
        <v>12</v>
      </c>
      <c r="N19" s="15">
        <f>L20+I22+F26+C18</f>
        <v>58000</v>
      </c>
    </row>
    <row r="20" spans="1:14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9">
        <f>L20*L18+L24*L22</f>
        <v>2000</v>
      </c>
      <c r="K20" s="15"/>
      <c r="L20" s="17">
        <f>140000-2000-B1</f>
        <v>58000</v>
      </c>
      <c r="M20" s="15"/>
      <c r="N20" s="15"/>
    </row>
    <row r="21" spans="1:14" x14ac:dyDescent="0.3">
      <c r="A21" s="15"/>
      <c r="B21" s="15"/>
      <c r="C21" s="15"/>
      <c r="D21" s="15"/>
      <c r="E21" s="15"/>
      <c r="F21" s="15"/>
      <c r="G21" s="15"/>
      <c r="H21" s="15"/>
      <c r="I21" s="18" t="s">
        <v>46</v>
      </c>
      <c r="J21" s="15">
        <v>8</v>
      </c>
      <c r="K21" s="15"/>
      <c r="L21" s="15"/>
      <c r="M21" s="15"/>
      <c r="N21" s="15"/>
    </row>
    <row r="22" spans="1:14" x14ac:dyDescent="0.3">
      <c r="A22" s="15"/>
      <c r="B22" s="15"/>
      <c r="C22" s="15"/>
      <c r="D22" s="15"/>
      <c r="E22" s="15"/>
      <c r="F22" s="15"/>
      <c r="G22" s="15"/>
      <c r="H22" s="15"/>
      <c r="I22" s="17">
        <v>0</v>
      </c>
      <c r="J22" s="15"/>
      <c r="K22" s="15"/>
      <c r="L22" s="17">
        <f>1-L18</f>
        <v>0.8</v>
      </c>
      <c r="M22" s="15"/>
      <c r="N22" s="15"/>
    </row>
    <row r="23" spans="1:14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8" t="s">
        <v>40</v>
      </c>
      <c r="M23" s="15">
        <v>13</v>
      </c>
      <c r="N23" s="15">
        <f>L24+I22+F26+C18</f>
        <v>-12000</v>
      </c>
    </row>
    <row r="24" spans="1:14" x14ac:dyDescent="0.3">
      <c r="A24" s="15"/>
      <c r="B24" s="15"/>
      <c r="C24" s="15"/>
      <c r="D24" s="15"/>
      <c r="E24" s="15"/>
      <c r="F24" s="17">
        <f>1-F8</f>
        <v>0.4</v>
      </c>
      <c r="G24" s="16">
        <f>MAX(J20+I22,J28+I30)</f>
        <v>18000</v>
      </c>
      <c r="H24" s="15"/>
      <c r="I24" s="15"/>
      <c r="J24" s="15"/>
      <c r="K24" s="15"/>
      <c r="L24" s="17">
        <f>70000-2000-B1</f>
        <v>-12000</v>
      </c>
      <c r="M24" s="15"/>
      <c r="N24" s="15"/>
    </row>
    <row r="25" spans="1:14" x14ac:dyDescent="0.3">
      <c r="A25" s="15"/>
      <c r="B25" s="15"/>
      <c r="C25" s="15"/>
      <c r="D25" s="15"/>
      <c r="E25" s="15"/>
      <c r="F25" s="18" t="s">
        <v>50</v>
      </c>
      <c r="G25" s="15">
        <v>5</v>
      </c>
      <c r="H25" s="15"/>
      <c r="I25" s="15"/>
      <c r="J25" s="15"/>
      <c r="K25" s="15"/>
      <c r="L25" s="15"/>
      <c r="M25" s="15"/>
      <c r="N25" s="15"/>
    </row>
    <row r="26" spans="1:14" x14ac:dyDescent="0.3">
      <c r="A26" s="15"/>
      <c r="B26" s="15"/>
      <c r="C26" s="15"/>
      <c r="D26" s="15"/>
      <c r="E26" s="15"/>
      <c r="F26" s="17">
        <v>0</v>
      </c>
      <c r="G26" s="16">
        <f>IF(G24=J20+I22,J21,IF(G24=J28+I30,J29))</f>
        <v>9</v>
      </c>
      <c r="H26" s="15"/>
      <c r="I26" s="15"/>
      <c r="J26" s="15"/>
      <c r="K26" s="15"/>
      <c r="L26" s="17">
        <f>0.2</f>
        <v>0.2</v>
      </c>
      <c r="M26" s="15"/>
      <c r="N26" s="15"/>
    </row>
    <row r="27" spans="1:14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8" t="s">
        <v>45</v>
      </c>
      <c r="M27" s="15">
        <v>16</v>
      </c>
      <c r="N27" s="15">
        <f>L28+I30+F26+C18</f>
        <v>74000</v>
      </c>
    </row>
    <row r="28" spans="1:14" x14ac:dyDescent="0.3">
      <c r="A28" s="16">
        <f>MAX(D16+C18,D40+C42)</f>
        <v>39000</v>
      </c>
      <c r="B28" s="15"/>
      <c r="C28" s="15"/>
      <c r="D28" s="15"/>
      <c r="E28" s="15"/>
      <c r="F28" s="15"/>
      <c r="G28" s="15"/>
      <c r="H28" s="15"/>
      <c r="I28" s="15"/>
      <c r="J28" s="19">
        <f>L28*L26+L32*L30</f>
        <v>18000</v>
      </c>
      <c r="K28" s="15"/>
      <c r="L28" s="17">
        <f>140000-2000-B2</f>
        <v>74000</v>
      </c>
      <c r="M28" s="15"/>
      <c r="N28" s="15"/>
    </row>
    <row r="29" spans="1:14" x14ac:dyDescent="0.3">
      <c r="A29" s="15">
        <v>1</v>
      </c>
      <c r="B29" s="15"/>
      <c r="C29" s="15"/>
      <c r="D29" s="15"/>
      <c r="E29" s="15"/>
      <c r="F29" s="15"/>
      <c r="G29" s="15"/>
      <c r="H29" s="15"/>
      <c r="I29" s="18" t="s">
        <v>48</v>
      </c>
      <c r="J29" s="15">
        <v>9</v>
      </c>
      <c r="K29" s="15"/>
      <c r="L29" s="15"/>
      <c r="M29" s="15"/>
      <c r="N29" s="15"/>
    </row>
    <row r="30" spans="1:14" x14ac:dyDescent="0.3">
      <c r="A30" s="16">
        <f>IF(A28=D16+C18,D17,IF(A28=D40+C42,D41))</f>
        <v>3</v>
      </c>
      <c r="B30" s="15"/>
      <c r="C30" s="15"/>
      <c r="D30" s="15"/>
      <c r="E30" s="15"/>
      <c r="F30" s="15"/>
      <c r="G30" s="15"/>
      <c r="H30" s="15"/>
      <c r="I30" s="17">
        <v>0</v>
      </c>
      <c r="J30" s="15"/>
      <c r="K30" s="15"/>
      <c r="L30" s="17">
        <f>1-L26</f>
        <v>0.8</v>
      </c>
      <c r="M30" s="15"/>
      <c r="N30" s="15"/>
    </row>
    <row r="31" spans="1:14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8" t="s">
        <v>40</v>
      </c>
      <c r="M31" s="15">
        <v>17</v>
      </c>
      <c r="N31" s="15">
        <f>L32+I30+F26+C18</f>
        <v>4000</v>
      </c>
    </row>
    <row r="32" spans="1:14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7">
        <f>70000-2000-B2</f>
        <v>4000</v>
      </c>
      <c r="M32" s="15"/>
      <c r="N32" s="15"/>
    </row>
    <row r="33" spans="1:14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3">
      <c r="A34" s="15"/>
      <c r="B34" s="15"/>
      <c r="C34" s="15"/>
      <c r="D34" s="15"/>
      <c r="E34" s="15"/>
      <c r="F34" s="15"/>
      <c r="G34" s="15"/>
      <c r="H34" s="15"/>
      <c r="I34" s="17">
        <f>0.7</f>
        <v>0.7</v>
      </c>
      <c r="J34" s="15"/>
      <c r="K34" s="15"/>
      <c r="L34" s="15"/>
      <c r="M34" s="15"/>
      <c r="N34" s="15"/>
    </row>
    <row r="35" spans="1:14" x14ac:dyDescent="0.3">
      <c r="A35" s="15"/>
      <c r="B35" s="15"/>
      <c r="C35" s="15"/>
      <c r="D35" s="15"/>
      <c r="E35" s="15"/>
      <c r="F35" s="15"/>
      <c r="G35" s="15"/>
      <c r="H35" s="15"/>
      <c r="I35" s="18" t="s">
        <v>45</v>
      </c>
      <c r="J35" s="15">
        <v>20</v>
      </c>
      <c r="K35" s="15">
        <f>I36+F38+C42</f>
        <v>60000</v>
      </c>
      <c r="L35" s="15"/>
      <c r="M35" s="15"/>
      <c r="N35" s="15"/>
    </row>
    <row r="36" spans="1:14" x14ac:dyDescent="0.3">
      <c r="A36" s="15"/>
      <c r="B36" s="15"/>
      <c r="C36" s="15"/>
      <c r="D36" s="15"/>
      <c r="E36" s="15"/>
      <c r="F36" s="15"/>
      <c r="G36" s="19">
        <f>I36*I34+I40*I38</f>
        <v>39000</v>
      </c>
      <c r="H36" s="15"/>
      <c r="I36" s="17">
        <f>140000-B1</f>
        <v>60000</v>
      </c>
      <c r="J36" s="15"/>
      <c r="K36" s="15"/>
      <c r="L36" s="15"/>
      <c r="M36" s="15"/>
      <c r="N36" s="15"/>
    </row>
    <row r="37" spans="1:14" x14ac:dyDescent="0.3">
      <c r="A37" s="15"/>
      <c r="B37" s="15"/>
      <c r="C37" s="15"/>
      <c r="D37" s="15"/>
      <c r="E37" s="15"/>
      <c r="F37" s="18" t="s">
        <v>46</v>
      </c>
      <c r="G37" s="15">
        <v>18</v>
      </c>
      <c r="H37" s="15"/>
      <c r="I37" s="15"/>
      <c r="J37" s="15"/>
      <c r="K37" s="15"/>
      <c r="L37" s="15"/>
      <c r="M37" s="15"/>
      <c r="N37" s="15"/>
    </row>
    <row r="38" spans="1:14" x14ac:dyDescent="0.3">
      <c r="A38" s="15"/>
      <c r="B38" s="15"/>
      <c r="C38" s="15"/>
      <c r="D38" s="15"/>
      <c r="E38" s="15"/>
      <c r="F38" s="17">
        <v>0</v>
      </c>
      <c r="G38" s="15"/>
      <c r="H38" s="15"/>
      <c r="I38" s="17">
        <f>1-I34</f>
        <v>0.30000000000000004</v>
      </c>
      <c r="J38" s="15"/>
      <c r="K38" s="15"/>
      <c r="L38" s="15"/>
      <c r="M38" s="15"/>
      <c r="N38" s="15"/>
    </row>
    <row r="39" spans="1:14" x14ac:dyDescent="0.3">
      <c r="A39" s="15"/>
      <c r="B39" s="15"/>
      <c r="C39" s="15"/>
      <c r="D39" s="15"/>
      <c r="E39" s="15"/>
      <c r="F39" s="15"/>
      <c r="G39" s="15"/>
      <c r="H39" s="15"/>
      <c r="I39" s="18" t="s">
        <v>40</v>
      </c>
      <c r="J39" s="15">
        <v>21</v>
      </c>
      <c r="K39" s="15">
        <f>I40+F38+C42</f>
        <v>-10000</v>
      </c>
      <c r="L39" s="15"/>
      <c r="M39" s="15"/>
      <c r="N39" s="15"/>
    </row>
    <row r="40" spans="1:14" x14ac:dyDescent="0.3">
      <c r="A40" s="15"/>
      <c r="B40" s="15"/>
      <c r="C40" s="15"/>
      <c r="D40" s="16">
        <f>MAX(G36+F38,G44+F46)</f>
        <v>39000</v>
      </c>
      <c r="E40" s="15"/>
      <c r="F40" s="15"/>
      <c r="G40" s="15"/>
      <c r="H40" s="15"/>
      <c r="I40" s="17">
        <f>70000-B1</f>
        <v>-10000</v>
      </c>
      <c r="J40" s="15"/>
      <c r="K40" s="15"/>
      <c r="L40" s="15"/>
      <c r="M40" s="15"/>
      <c r="N40" s="15"/>
    </row>
    <row r="41" spans="1:14" x14ac:dyDescent="0.3">
      <c r="A41" s="15"/>
      <c r="B41" s="15"/>
      <c r="C41" s="18" t="s">
        <v>51</v>
      </c>
      <c r="D41" s="15">
        <v>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3">
      <c r="A42" s="15"/>
      <c r="B42" s="15"/>
      <c r="C42" s="17">
        <v>0</v>
      </c>
      <c r="D42" s="16">
        <f>IF(D40=G36+F38,G37,IF(D40=G44+F46,G45))</f>
        <v>18</v>
      </c>
      <c r="E42" s="15"/>
      <c r="F42" s="15"/>
      <c r="G42" s="15"/>
      <c r="H42" s="15"/>
      <c r="I42" s="17">
        <f>0.4</f>
        <v>0.4</v>
      </c>
      <c r="J42" s="15"/>
      <c r="K42" s="15"/>
      <c r="L42" s="15"/>
      <c r="M42" s="15"/>
      <c r="N42" s="15"/>
    </row>
    <row r="43" spans="1:14" x14ac:dyDescent="0.3">
      <c r="A43" s="15"/>
      <c r="B43" s="15"/>
      <c r="C43" s="15"/>
      <c r="D43" s="15"/>
      <c r="E43" s="15"/>
      <c r="F43" s="15"/>
      <c r="G43" s="15"/>
      <c r="H43" s="15"/>
      <c r="I43" s="18" t="s">
        <v>45</v>
      </c>
      <c r="J43" s="15">
        <v>22</v>
      </c>
      <c r="K43" s="15">
        <f>I44+F46+C42</f>
        <v>76000</v>
      </c>
      <c r="L43" s="15"/>
      <c r="M43" s="15"/>
      <c r="N43" s="15"/>
    </row>
    <row r="44" spans="1:14" x14ac:dyDescent="0.3">
      <c r="A44" s="15"/>
      <c r="B44" s="15"/>
      <c r="C44" s="15"/>
      <c r="D44" s="15"/>
      <c r="E44" s="15"/>
      <c r="F44" s="15"/>
      <c r="G44" s="19">
        <f>I44*I42+I48*I46</f>
        <v>34000</v>
      </c>
      <c r="H44" s="15"/>
      <c r="I44" s="17">
        <f>140000-B2</f>
        <v>76000</v>
      </c>
      <c r="J44" s="15"/>
      <c r="K44" s="15"/>
      <c r="L44" s="15"/>
      <c r="M44" s="15"/>
      <c r="N44" s="15"/>
    </row>
    <row r="45" spans="1:14" x14ac:dyDescent="0.3">
      <c r="A45" s="15"/>
      <c r="B45" s="15"/>
      <c r="C45" s="15"/>
      <c r="D45" s="15"/>
      <c r="E45" s="15"/>
      <c r="F45" s="18" t="s">
        <v>48</v>
      </c>
      <c r="G45" s="15">
        <v>19</v>
      </c>
      <c r="H45" s="15"/>
      <c r="I45" s="15"/>
      <c r="J45" s="15"/>
      <c r="K45" s="15"/>
      <c r="L45" s="15"/>
      <c r="M45" s="15"/>
      <c r="N45" s="15"/>
    </row>
    <row r="46" spans="1:14" x14ac:dyDescent="0.3">
      <c r="A46" s="15"/>
      <c r="B46" s="15"/>
      <c r="C46" s="15"/>
      <c r="D46" s="15"/>
      <c r="E46" s="15"/>
      <c r="F46" s="17">
        <v>0</v>
      </c>
      <c r="G46" s="15"/>
      <c r="H46" s="15"/>
      <c r="I46" s="17">
        <f>1-I42</f>
        <v>0.6</v>
      </c>
      <c r="J46" s="15"/>
      <c r="K46" s="15"/>
      <c r="L46" s="15"/>
      <c r="M46" s="15"/>
      <c r="N46" s="15"/>
    </row>
    <row r="47" spans="1:14" x14ac:dyDescent="0.3">
      <c r="A47" s="15"/>
      <c r="B47" s="15"/>
      <c r="C47" s="15"/>
      <c r="D47" s="15"/>
      <c r="E47" s="15"/>
      <c r="F47" s="15"/>
      <c r="G47" s="15"/>
      <c r="H47" s="15"/>
      <c r="I47" s="18" t="s">
        <v>40</v>
      </c>
      <c r="J47" s="15">
        <v>23</v>
      </c>
      <c r="K47" s="15">
        <f>I48+F46+C42</f>
        <v>6000</v>
      </c>
      <c r="L47" s="15"/>
      <c r="M47" s="15"/>
      <c r="N47" s="15"/>
    </row>
    <row r="48" spans="1:14" x14ac:dyDescent="0.3">
      <c r="A48" s="15"/>
      <c r="B48" s="15"/>
      <c r="C48" s="15"/>
      <c r="D48" s="15"/>
      <c r="E48" s="15"/>
      <c r="F48" s="15"/>
      <c r="G48" s="15"/>
      <c r="H48" s="15"/>
      <c r="I48" s="17">
        <f>70000-B2</f>
        <v>6000</v>
      </c>
      <c r="J48" s="15"/>
      <c r="K48" s="15"/>
      <c r="L48" s="15"/>
      <c r="M48" s="15"/>
      <c r="N48" s="15"/>
    </row>
    <row r="49" spans="1:14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22C6-ABFE-4EE7-93C9-BAE9B12955DB}">
  <dimension ref="A1:O48"/>
  <sheetViews>
    <sheetView workbookViewId="0">
      <selection activeCell="D3" sqref="D3"/>
    </sheetView>
  </sheetViews>
  <sheetFormatPr defaultRowHeight="14.4" x14ac:dyDescent="0.3"/>
  <cols>
    <col min="3" max="3" width="23.6640625" customWidth="1"/>
    <col min="9" max="9" width="16.5546875" customWidth="1"/>
  </cols>
  <sheetData>
    <row r="1" spans="1:15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">
      <c r="A2" s="16"/>
      <c r="B2" s="15"/>
      <c r="C2" s="15" t="s">
        <v>85</v>
      </c>
      <c r="D2" s="15"/>
      <c r="E2" s="15"/>
      <c r="F2" s="15"/>
      <c r="G2" s="15"/>
      <c r="H2" s="15"/>
      <c r="I2" s="15"/>
      <c r="J2" s="15"/>
      <c r="K2" s="15"/>
      <c r="L2" s="17">
        <v>0.75</v>
      </c>
      <c r="M2" s="15"/>
      <c r="N2" s="15"/>
      <c r="O2" s="15"/>
    </row>
    <row r="3" spans="1:15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8" t="s">
        <v>45</v>
      </c>
      <c r="M3" s="15">
        <v>10</v>
      </c>
      <c r="N3" s="15">
        <f>L4+I6+F10+C18</f>
        <v>138000</v>
      </c>
      <c r="O3" s="15"/>
    </row>
    <row r="4" spans="1:15" x14ac:dyDescent="0.3">
      <c r="A4" s="16"/>
      <c r="B4" s="15"/>
      <c r="C4" s="15"/>
      <c r="D4" s="15"/>
      <c r="E4" s="15"/>
      <c r="F4" s="15"/>
      <c r="G4" s="15"/>
      <c r="H4" s="15"/>
      <c r="I4" s="15"/>
      <c r="J4" s="19">
        <f>L4*L2+L8*L6</f>
        <v>120500</v>
      </c>
      <c r="K4" s="15"/>
      <c r="L4" s="17">
        <f>140000-2000</f>
        <v>138000</v>
      </c>
      <c r="M4" s="15"/>
      <c r="N4" s="15"/>
      <c r="O4" s="15"/>
    </row>
    <row r="5" spans="1:15" x14ac:dyDescent="0.3">
      <c r="A5" s="15"/>
      <c r="B5" s="15"/>
      <c r="C5" s="15"/>
      <c r="D5" s="15"/>
      <c r="E5" s="15"/>
      <c r="F5" s="15"/>
      <c r="G5" s="15"/>
      <c r="H5" s="15"/>
      <c r="I5" s="18" t="s">
        <v>46</v>
      </c>
      <c r="J5" s="15">
        <v>6</v>
      </c>
      <c r="K5" s="15"/>
      <c r="L5" s="15"/>
      <c r="M5" s="15"/>
      <c r="N5" s="15"/>
      <c r="O5" s="15"/>
    </row>
    <row r="6" spans="1:15" x14ac:dyDescent="0.3">
      <c r="A6" s="15"/>
      <c r="B6" s="15"/>
      <c r="C6" s="15"/>
      <c r="D6" s="15"/>
      <c r="E6" s="15"/>
      <c r="F6" s="15"/>
      <c r="G6" s="15"/>
      <c r="H6" s="15"/>
      <c r="I6" s="17">
        <v>0</v>
      </c>
      <c r="J6" s="15"/>
      <c r="K6" s="15"/>
      <c r="L6" s="17">
        <f>1-L2</f>
        <v>0.25</v>
      </c>
      <c r="M6" s="15"/>
      <c r="N6" s="15"/>
      <c r="O6" s="15"/>
    </row>
    <row r="7" spans="1:15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8" t="s">
        <v>40</v>
      </c>
      <c r="M7" s="15">
        <v>11</v>
      </c>
      <c r="N7" s="15">
        <f>L8+I6+F10+C18</f>
        <v>68000</v>
      </c>
      <c r="O7" s="15"/>
    </row>
    <row r="8" spans="1:15" x14ac:dyDescent="0.3">
      <c r="A8" s="15"/>
      <c r="B8" s="15"/>
      <c r="C8" s="15"/>
      <c r="D8" s="15"/>
      <c r="E8" s="15"/>
      <c r="F8" s="17">
        <f>0.6</f>
        <v>0.6</v>
      </c>
      <c r="G8" s="16">
        <f>MAX(J4+I6,J12+I14)</f>
        <v>120500</v>
      </c>
      <c r="H8" s="15"/>
      <c r="I8" s="15"/>
      <c r="J8" s="15"/>
      <c r="K8" s="15"/>
      <c r="L8" s="17">
        <f>70000-2000</f>
        <v>68000</v>
      </c>
      <c r="M8" s="15"/>
      <c r="N8" s="15"/>
      <c r="O8" s="15"/>
    </row>
    <row r="9" spans="1:15" x14ac:dyDescent="0.3">
      <c r="A9" s="15"/>
      <c r="B9" s="15"/>
      <c r="C9" s="15"/>
      <c r="D9" s="15"/>
      <c r="E9" s="15"/>
      <c r="F9" s="18" t="s">
        <v>47</v>
      </c>
      <c r="G9" s="15">
        <v>4</v>
      </c>
      <c r="H9" s="15"/>
      <c r="I9" s="15"/>
      <c r="J9" s="15"/>
      <c r="K9" s="15"/>
      <c r="L9" s="15"/>
      <c r="M9" s="15"/>
      <c r="N9" s="15"/>
      <c r="O9" s="15"/>
    </row>
    <row r="10" spans="1:15" x14ac:dyDescent="0.3">
      <c r="A10" s="15"/>
      <c r="B10" s="15"/>
      <c r="C10" s="15"/>
      <c r="D10" s="15"/>
      <c r="E10" s="15"/>
      <c r="F10" s="17">
        <v>0</v>
      </c>
      <c r="G10" s="16">
        <f>IF(G8=J4+I6,J5,IF(G8=J12+I14,J13))</f>
        <v>6</v>
      </c>
      <c r="H10" s="15"/>
      <c r="I10" s="15"/>
      <c r="J10" s="15"/>
      <c r="K10" s="15"/>
      <c r="L10" s="17">
        <f>0.4</f>
        <v>0.4</v>
      </c>
      <c r="M10" s="15"/>
      <c r="N10" s="15"/>
      <c r="O10" s="15"/>
    </row>
    <row r="11" spans="1:15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8" t="s">
        <v>45</v>
      </c>
      <c r="M11" s="15">
        <v>14</v>
      </c>
      <c r="N11" s="15">
        <f>L12+I14+F10+C18</f>
        <v>138000</v>
      </c>
      <c r="O11" s="15"/>
    </row>
    <row r="12" spans="1:15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9">
        <f>L12*L10+L16*L14</f>
        <v>96000</v>
      </c>
      <c r="K12" s="15"/>
      <c r="L12" s="17">
        <f>140000-2000</f>
        <v>138000</v>
      </c>
      <c r="M12" s="15"/>
      <c r="N12" s="15"/>
      <c r="O12" s="15"/>
    </row>
    <row r="13" spans="1:15" x14ac:dyDescent="0.3">
      <c r="A13" s="15"/>
      <c r="B13" s="15"/>
      <c r="C13" s="15"/>
      <c r="D13" s="15"/>
      <c r="E13" s="15"/>
      <c r="F13" s="15"/>
      <c r="G13" s="15"/>
      <c r="H13" s="15"/>
      <c r="I13" s="18" t="s">
        <v>48</v>
      </c>
      <c r="J13" s="15">
        <v>7</v>
      </c>
      <c r="K13" s="15"/>
      <c r="L13" s="15"/>
      <c r="M13" s="15"/>
      <c r="N13" s="15"/>
      <c r="O13" s="15"/>
    </row>
    <row r="14" spans="1:15" x14ac:dyDescent="0.3">
      <c r="A14" s="15"/>
      <c r="B14" s="15"/>
      <c r="C14" s="15"/>
      <c r="D14" s="15"/>
      <c r="E14" s="15"/>
      <c r="F14" s="15"/>
      <c r="G14" s="15"/>
      <c r="H14" s="15"/>
      <c r="I14" s="17">
        <v>0</v>
      </c>
      <c r="J14" s="15"/>
      <c r="K14" s="15"/>
      <c r="L14" s="17">
        <f>1-L10</f>
        <v>0.6</v>
      </c>
      <c r="M14" s="15"/>
      <c r="N14" s="15"/>
      <c r="O14" s="15"/>
    </row>
    <row r="15" spans="1:15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8" t="s">
        <v>40</v>
      </c>
      <c r="M15" s="15">
        <v>15</v>
      </c>
      <c r="N15" s="15">
        <f>L16+I14+F10+C18</f>
        <v>68000</v>
      </c>
      <c r="O15" s="15"/>
    </row>
    <row r="16" spans="1:15" x14ac:dyDescent="0.3">
      <c r="A16" s="15"/>
      <c r="B16" s="15"/>
      <c r="C16" s="15"/>
      <c r="D16" s="19">
        <f>F8*(G8+F10)+F24*(G24+F26)</f>
        <v>105100</v>
      </c>
      <c r="E16" s="15"/>
      <c r="F16" s="15"/>
      <c r="G16" s="15"/>
      <c r="H16" s="15"/>
      <c r="I16" s="15"/>
      <c r="J16" s="15"/>
      <c r="K16" s="15"/>
      <c r="L16" s="17">
        <f>70000-2000</f>
        <v>68000</v>
      </c>
      <c r="M16" s="15"/>
      <c r="N16" s="15"/>
      <c r="O16" s="15"/>
    </row>
    <row r="17" spans="1:15" x14ac:dyDescent="0.3">
      <c r="A17" s="15"/>
      <c r="B17" s="15"/>
      <c r="C17" s="18" t="s">
        <v>49</v>
      </c>
      <c r="D17" s="15">
        <v>2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3">
      <c r="A18" s="15"/>
      <c r="B18" s="15"/>
      <c r="C18" s="17">
        <v>0</v>
      </c>
      <c r="D18" s="15"/>
      <c r="E18" s="15"/>
      <c r="F18" s="15"/>
      <c r="G18" s="15"/>
      <c r="H18" s="15"/>
      <c r="I18" s="15"/>
      <c r="J18" s="15"/>
      <c r="K18" s="15"/>
      <c r="L18" s="17">
        <v>0.2</v>
      </c>
      <c r="M18" s="15"/>
      <c r="N18" s="15"/>
      <c r="O18" s="15"/>
    </row>
    <row r="19" spans="1:15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8" t="s">
        <v>45</v>
      </c>
      <c r="M19" s="15">
        <v>12</v>
      </c>
      <c r="N19" s="15">
        <f>L20+I22+F26+C18</f>
        <v>138000</v>
      </c>
      <c r="O19" s="15"/>
    </row>
    <row r="20" spans="1:15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9">
        <f>L20*L18+L24*L22</f>
        <v>82000</v>
      </c>
      <c r="K20" s="15"/>
      <c r="L20" s="17">
        <f>140000-2000</f>
        <v>138000</v>
      </c>
      <c r="M20" s="15"/>
      <c r="N20" s="15"/>
      <c r="O20" s="15"/>
    </row>
    <row r="21" spans="1:15" x14ac:dyDescent="0.3">
      <c r="A21" s="15"/>
      <c r="B21" s="15"/>
      <c r="C21" s="15"/>
      <c r="D21" s="15"/>
      <c r="E21" s="15"/>
      <c r="F21" s="15"/>
      <c r="G21" s="15"/>
      <c r="H21" s="15"/>
      <c r="I21" s="18" t="s">
        <v>46</v>
      </c>
      <c r="J21" s="15">
        <v>8</v>
      </c>
      <c r="K21" s="15"/>
      <c r="L21" s="15"/>
      <c r="M21" s="15"/>
      <c r="N21" s="15"/>
      <c r="O21" s="15"/>
    </row>
    <row r="22" spans="1:15" x14ac:dyDescent="0.3">
      <c r="A22" s="15"/>
      <c r="B22" s="15"/>
      <c r="C22" s="15"/>
      <c r="D22" s="15"/>
      <c r="E22" s="15"/>
      <c r="F22" s="15"/>
      <c r="G22" s="15"/>
      <c r="H22" s="15"/>
      <c r="I22" s="17">
        <v>0</v>
      </c>
      <c r="J22" s="15"/>
      <c r="K22" s="15"/>
      <c r="L22" s="17">
        <f>1-L18</f>
        <v>0.8</v>
      </c>
      <c r="M22" s="15"/>
      <c r="N22" s="15"/>
      <c r="O22" s="15"/>
    </row>
    <row r="23" spans="1:15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8" t="s">
        <v>40</v>
      </c>
      <c r="M23" s="15">
        <v>13</v>
      </c>
      <c r="N23" s="15">
        <f>L24+I22+F26+C18</f>
        <v>68000</v>
      </c>
      <c r="O23" s="15"/>
    </row>
    <row r="24" spans="1:15" x14ac:dyDescent="0.3">
      <c r="A24" s="15"/>
      <c r="B24" s="15"/>
      <c r="C24" s="15"/>
      <c r="D24" s="15"/>
      <c r="E24" s="15"/>
      <c r="F24" s="17">
        <f>1-F8</f>
        <v>0.4</v>
      </c>
      <c r="G24" s="16">
        <f>MAX(J20+I22,J28+I30)</f>
        <v>82000</v>
      </c>
      <c r="H24" s="15"/>
      <c r="I24" s="15"/>
      <c r="J24" s="15"/>
      <c r="K24" s="15"/>
      <c r="L24" s="17">
        <f>70000-2000</f>
        <v>68000</v>
      </c>
      <c r="M24" s="15"/>
      <c r="N24" s="15"/>
      <c r="O24" s="15"/>
    </row>
    <row r="25" spans="1:15" x14ac:dyDescent="0.3">
      <c r="A25" s="15"/>
      <c r="B25" s="15"/>
      <c r="C25" s="15"/>
      <c r="D25" s="15"/>
      <c r="E25" s="15"/>
      <c r="F25" s="18" t="s">
        <v>50</v>
      </c>
      <c r="G25" s="15">
        <v>5</v>
      </c>
      <c r="H25" s="15"/>
      <c r="I25" s="15"/>
      <c r="J25" s="15"/>
      <c r="K25" s="15"/>
      <c r="L25" s="15"/>
      <c r="M25" s="15"/>
      <c r="N25" s="15"/>
      <c r="O25" s="15"/>
    </row>
    <row r="26" spans="1:15" x14ac:dyDescent="0.3">
      <c r="A26" s="15"/>
      <c r="B26" s="15"/>
      <c r="C26" s="15"/>
      <c r="D26" s="15"/>
      <c r="E26" s="15"/>
      <c r="F26" s="17">
        <v>0</v>
      </c>
      <c r="G26" s="16">
        <f>IF(G24=J20+I22,J21,IF(G24=J28+I30,J29))</f>
        <v>8</v>
      </c>
      <c r="H26" s="15"/>
      <c r="I26" s="15"/>
      <c r="J26" s="15"/>
      <c r="K26" s="15"/>
      <c r="L26" s="17">
        <f>0.2</f>
        <v>0.2</v>
      </c>
      <c r="M26" s="15"/>
      <c r="N26" s="15"/>
      <c r="O26" s="15"/>
    </row>
    <row r="27" spans="1:15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8" t="s">
        <v>45</v>
      </c>
      <c r="M27" s="15">
        <v>16</v>
      </c>
      <c r="N27" s="15">
        <f>L28+I30+F26+C18</f>
        <v>138000</v>
      </c>
      <c r="O27" s="15"/>
    </row>
    <row r="28" spans="1:15" x14ac:dyDescent="0.3">
      <c r="A28" s="16">
        <f>MAX(D16+C18,D40+C42)</f>
        <v>119000</v>
      </c>
      <c r="B28" s="15"/>
      <c r="C28" s="15"/>
      <c r="D28" s="15"/>
      <c r="E28" s="15"/>
      <c r="F28" s="15"/>
      <c r="G28" s="15"/>
      <c r="H28" s="15"/>
      <c r="I28" s="15"/>
      <c r="J28" s="19">
        <f>L28*L26+L32*L30</f>
        <v>82000</v>
      </c>
      <c r="K28" s="15"/>
      <c r="L28" s="17">
        <f>140000-2000</f>
        <v>138000</v>
      </c>
      <c r="M28" s="15"/>
      <c r="N28" s="15"/>
      <c r="O28" s="15"/>
    </row>
    <row r="29" spans="1:15" x14ac:dyDescent="0.3">
      <c r="A29" s="15">
        <v>1</v>
      </c>
      <c r="B29" s="15"/>
      <c r="C29" s="15"/>
      <c r="D29" s="15"/>
      <c r="E29" s="15"/>
      <c r="F29" s="15"/>
      <c r="G29" s="15"/>
      <c r="H29" s="15"/>
      <c r="I29" s="18" t="s">
        <v>48</v>
      </c>
      <c r="J29" s="15">
        <v>9</v>
      </c>
      <c r="K29" s="15"/>
      <c r="L29" s="15"/>
      <c r="M29" s="15"/>
      <c r="N29" s="15"/>
      <c r="O29" s="15"/>
    </row>
    <row r="30" spans="1:15" x14ac:dyDescent="0.3">
      <c r="A30" s="16">
        <f>IF(A28=D16+C18,D17,IF(A28=D40+C42,D41))</f>
        <v>3</v>
      </c>
      <c r="B30" s="15"/>
      <c r="C30" s="15"/>
      <c r="D30" s="15"/>
      <c r="E30" s="15"/>
      <c r="F30" s="15"/>
      <c r="G30" s="15"/>
      <c r="H30" s="15"/>
      <c r="I30" s="17">
        <v>0</v>
      </c>
      <c r="J30" s="15"/>
      <c r="K30" s="15"/>
      <c r="L30" s="17">
        <f>1-L26</f>
        <v>0.8</v>
      </c>
      <c r="M30" s="15"/>
      <c r="N30" s="15"/>
      <c r="O30" s="15"/>
    </row>
    <row r="31" spans="1:15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8" t="s">
        <v>40</v>
      </c>
      <c r="M31" s="15">
        <v>17</v>
      </c>
      <c r="N31" s="15">
        <f>L32+I30+F26+C18</f>
        <v>68000</v>
      </c>
      <c r="O31" s="15"/>
    </row>
    <row r="32" spans="1:15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7">
        <f>70000-2000</f>
        <v>68000</v>
      </c>
      <c r="M32" s="15"/>
      <c r="N32" s="15"/>
      <c r="O32" s="15"/>
    </row>
    <row r="33" spans="1:15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3">
      <c r="A34" s="15"/>
      <c r="B34" s="15"/>
      <c r="C34" s="15"/>
      <c r="D34" s="15"/>
      <c r="E34" s="15"/>
      <c r="F34" s="15"/>
      <c r="G34" s="15"/>
      <c r="H34" s="15"/>
      <c r="I34" s="17">
        <f>0.7</f>
        <v>0.7</v>
      </c>
      <c r="J34" s="15"/>
      <c r="K34" s="15"/>
      <c r="L34" s="15"/>
      <c r="M34" s="15"/>
      <c r="N34" s="15"/>
      <c r="O34" s="15"/>
    </row>
    <row r="35" spans="1:15" x14ac:dyDescent="0.3">
      <c r="A35" s="15"/>
      <c r="B35" s="15"/>
      <c r="C35" s="15"/>
      <c r="D35" s="15"/>
      <c r="E35" s="15"/>
      <c r="F35" s="15"/>
      <c r="G35" s="15"/>
      <c r="H35" s="15"/>
      <c r="I35" s="18" t="s">
        <v>45</v>
      </c>
      <c r="J35" s="15">
        <v>20</v>
      </c>
      <c r="K35" s="15">
        <f>I36+F38+C42</f>
        <v>140000</v>
      </c>
      <c r="L35" s="15"/>
      <c r="M35" s="15"/>
      <c r="N35" s="15"/>
      <c r="O35" s="15"/>
    </row>
    <row r="36" spans="1:15" x14ac:dyDescent="0.3">
      <c r="A36" s="15"/>
      <c r="B36" s="15"/>
      <c r="C36" s="15"/>
      <c r="D36" s="15"/>
      <c r="E36" s="15"/>
      <c r="F36" s="15"/>
      <c r="G36" s="19">
        <f>I36*I34+I40*I38</f>
        <v>119000</v>
      </c>
      <c r="H36" s="15"/>
      <c r="I36" s="17">
        <v>140000</v>
      </c>
      <c r="J36" s="15"/>
      <c r="K36" s="15"/>
      <c r="L36" s="15"/>
      <c r="M36" s="15"/>
      <c r="N36" s="15"/>
      <c r="O36" s="15"/>
    </row>
    <row r="37" spans="1:15" x14ac:dyDescent="0.3">
      <c r="A37" s="15"/>
      <c r="B37" s="15"/>
      <c r="C37" s="15"/>
      <c r="D37" s="15"/>
      <c r="E37" s="15"/>
      <c r="F37" s="18" t="s">
        <v>46</v>
      </c>
      <c r="G37" s="15">
        <v>18</v>
      </c>
      <c r="H37" s="15"/>
      <c r="I37" s="15"/>
      <c r="J37" s="15"/>
      <c r="K37" s="15"/>
      <c r="L37" s="15"/>
      <c r="M37" s="15"/>
      <c r="N37" s="15"/>
      <c r="O37" s="15"/>
    </row>
    <row r="38" spans="1:15" x14ac:dyDescent="0.3">
      <c r="A38" s="15"/>
      <c r="B38" s="15"/>
      <c r="C38" s="15"/>
      <c r="D38" s="15"/>
      <c r="E38" s="15"/>
      <c r="F38" s="17">
        <v>0</v>
      </c>
      <c r="G38" s="15"/>
      <c r="H38" s="15"/>
      <c r="I38" s="17">
        <f>1-I34</f>
        <v>0.30000000000000004</v>
      </c>
      <c r="J38" s="15"/>
      <c r="K38" s="15"/>
      <c r="L38" s="15"/>
      <c r="M38" s="15"/>
      <c r="N38" s="15"/>
      <c r="O38" s="15"/>
    </row>
    <row r="39" spans="1:15" x14ac:dyDescent="0.3">
      <c r="A39" s="15"/>
      <c r="B39" s="15"/>
      <c r="C39" s="15"/>
      <c r="D39" s="15"/>
      <c r="E39" s="15"/>
      <c r="F39" s="15"/>
      <c r="G39" s="15"/>
      <c r="H39" s="15"/>
      <c r="I39" s="18" t="s">
        <v>40</v>
      </c>
      <c r="J39" s="15">
        <v>21</v>
      </c>
      <c r="K39" s="15">
        <f>I40+F38+C42</f>
        <v>70000</v>
      </c>
      <c r="L39" s="15"/>
      <c r="M39" s="15"/>
      <c r="N39" s="15"/>
      <c r="O39" s="15"/>
    </row>
    <row r="40" spans="1:15" x14ac:dyDescent="0.3">
      <c r="A40" s="15"/>
      <c r="B40" s="15"/>
      <c r="C40" s="15"/>
      <c r="D40" s="16">
        <f>MAX(G36+F38,G44+F46)</f>
        <v>119000</v>
      </c>
      <c r="E40" s="15"/>
      <c r="F40" s="15"/>
      <c r="G40" s="15"/>
      <c r="H40" s="15"/>
      <c r="I40" s="17">
        <v>70000</v>
      </c>
      <c r="J40" s="15"/>
      <c r="K40" s="15"/>
      <c r="L40" s="15"/>
      <c r="M40" s="15"/>
      <c r="N40" s="15"/>
      <c r="O40" s="15"/>
    </row>
    <row r="41" spans="1:15" x14ac:dyDescent="0.3">
      <c r="A41" s="15"/>
      <c r="B41" s="15"/>
      <c r="C41" s="18" t="s">
        <v>51</v>
      </c>
      <c r="D41" s="15">
        <v>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3">
      <c r="A42" s="15"/>
      <c r="B42" s="15"/>
      <c r="C42" s="17">
        <v>0</v>
      </c>
      <c r="D42" s="16">
        <f>IF(D40=G36+F38,G37,IF(D40=G44+F46,G45))</f>
        <v>18</v>
      </c>
      <c r="E42" s="15"/>
      <c r="F42" s="15"/>
      <c r="G42" s="15"/>
      <c r="H42" s="15"/>
      <c r="I42" s="17">
        <f>0.4</f>
        <v>0.4</v>
      </c>
      <c r="J42" s="15"/>
      <c r="K42" s="15"/>
      <c r="L42" s="15"/>
      <c r="M42" s="15"/>
      <c r="N42" s="15"/>
      <c r="O42" s="15"/>
    </row>
    <row r="43" spans="1:15" x14ac:dyDescent="0.3">
      <c r="A43" s="15"/>
      <c r="B43" s="15"/>
      <c r="C43" s="15"/>
      <c r="D43" s="15"/>
      <c r="E43" s="15"/>
      <c r="F43" s="15"/>
      <c r="G43" s="15"/>
      <c r="H43" s="15"/>
      <c r="I43" s="18" t="s">
        <v>45</v>
      </c>
      <c r="J43" s="15">
        <v>22</v>
      </c>
      <c r="K43" s="15">
        <f>I44+F46+C42</f>
        <v>140000</v>
      </c>
      <c r="L43" s="15"/>
      <c r="M43" s="15"/>
      <c r="N43" s="15"/>
      <c r="O43" s="15"/>
    </row>
    <row r="44" spans="1:15" x14ac:dyDescent="0.3">
      <c r="A44" s="15"/>
      <c r="B44" s="15"/>
      <c r="C44" s="15"/>
      <c r="D44" s="15"/>
      <c r="E44" s="15"/>
      <c r="F44" s="15"/>
      <c r="G44" s="19">
        <f>I44*I42+I48*I46</f>
        <v>98000</v>
      </c>
      <c r="H44" s="15"/>
      <c r="I44" s="17">
        <v>140000</v>
      </c>
      <c r="J44" s="15"/>
      <c r="K44" s="15"/>
      <c r="L44" s="15"/>
      <c r="M44" s="15"/>
      <c r="N44" s="15"/>
      <c r="O44" s="15"/>
    </row>
    <row r="45" spans="1:15" x14ac:dyDescent="0.3">
      <c r="A45" s="15"/>
      <c r="B45" s="15"/>
      <c r="C45" s="15"/>
      <c r="D45" s="15"/>
      <c r="E45" s="15"/>
      <c r="F45" s="18" t="s">
        <v>48</v>
      </c>
      <c r="G45" s="15">
        <v>19</v>
      </c>
      <c r="H45" s="15"/>
      <c r="I45" s="15"/>
      <c r="J45" s="15"/>
      <c r="K45" s="15"/>
      <c r="L45" s="15"/>
      <c r="M45" s="15"/>
      <c r="N45" s="15"/>
      <c r="O45" s="15"/>
    </row>
    <row r="46" spans="1:15" x14ac:dyDescent="0.3">
      <c r="A46" s="15"/>
      <c r="B46" s="15"/>
      <c r="C46" s="15"/>
      <c r="D46" s="15"/>
      <c r="E46" s="15"/>
      <c r="F46" s="17">
        <v>0</v>
      </c>
      <c r="G46" s="15"/>
      <c r="H46" s="15"/>
      <c r="I46" s="17">
        <f>1-I42</f>
        <v>0.6</v>
      </c>
      <c r="J46" s="15"/>
      <c r="K46" s="15"/>
      <c r="L46" s="15"/>
      <c r="M46" s="15"/>
      <c r="N46" s="15"/>
      <c r="O46" s="15"/>
    </row>
    <row r="47" spans="1:15" x14ac:dyDescent="0.3">
      <c r="A47" s="15"/>
      <c r="B47" s="15"/>
      <c r="C47" s="15"/>
      <c r="D47" s="15"/>
      <c r="E47" s="15"/>
      <c r="F47" s="15"/>
      <c r="G47" s="15"/>
      <c r="H47" s="15"/>
      <c r="I47" s="18" t="s">
        <v>40</v>
      </c>
      <c r="J47" s="15">
        <v>23</v>
      </c>
      <c r="K47" s="15">
        <f>I48+F46+C42</f>
        <v>70000</v>
      </c>
      <c r="L47" s="15"/>
      <c r="M47" s="15"/>
      <c r="N47" s="15"/>
      <c r="O47" s="15"/>
    </row>
    <row r="48" spans="1:15" x14ac:dyDescent="0.3">
      <c r="A48" s="15"/>
      <c r="B48" s="15"/>
      <c r="C48" s="15"/>
      <c r="D48" s="15"/>
      <c r="E48" s="15"/>
      <c r="F48" s="15"/>
      <c r="G48" s="15"/>
      <c r="H48" s="15"/>
      <c r="I48" s="17">
        <f>70000</f>
        <v>70000</v>
      </c>
      <c r="J48" s="15"/>
      <c r="K48" s="15"/>
      <c r="L48" s="15"/>
      <c r="M48" s="15"/>
      <c r="N48" s="15"/>
      <c r="O48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AAA start</vt:lpstr>
      <vt:lpstr>DECISION-TREE </vt:lpstr>
      <vt:lpstr>Decision Tree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van der Merwe</dc:creator>
  <cp:lastModifiedBy>Musawakhe Chipeya</cp:lastModifiedBy>
  <dcterms:created xsi:type="dcterms:W3CDTF">2020-08-27T13:22:50Z</dcterms:created>
  <dcterms:modified xsi:type="dcterms:W3CDTF">2025-08-13T15:43:48Z</dcterms:modified>
</cp:coreProperties>
</file>