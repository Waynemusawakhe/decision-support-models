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codeName="ThisWorkbook"/>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F6E173D5-9792-477A-AEB3-5B20A10A22BD}" xr6:coauthVersionLast="47" xr6:coauthVersionMax="47" xr10:uidLastSave="{00000000-0000-0000-0000-000000000000}"/>
  <bookViews>
    <workbookView xWindow="22932" yWindow="-108" windowWidth="19416" windowHeight="10296" xr2:uid="{00000000-000D-0000-FFFF-FFFF00000000}"/>
  </bookViews>
  <sheets>
    <sheet name="AAB start" sheetId="1" r:id="rId1"/>
    <sheet name="Project crashing"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31" i="1" l="1"/>
  <c r="R31" i="1"/>
  <c r="Q31" i="1"/>
  <c r="P29" i="1"/>
  <c r="K29" i="1"/>
  <c r="K27" i="1"/>
  <c r="M33" i="1" l="1"/>
  <c r="L31" i="1"/>
  <c r="K23" i="1"/>
  <c r="K25" i="1" s="1"/>
  <c r="G26" i="1"/>
  <c r="M11" i="1"/>
</calcChain>
</file>

<file path=xl/sharedStrings.xml><?xml version="1.0" encoding="utf-8"?>
<sst xmlns="http://schemas.openxmlformats.org/spreadsheetml/2006/main" count="66" uniqueCount="56">
  <si>
    <t>Student number:</t>
  </si>
  <si>
    <t>Name:</t>
  </si>
  <si>
    <t>(select)</t>
  </si>
  <si>
    <t>unit price &lt; R100</t>
  </si>
  <si>
    <r>
      <rPr>
        <sz val="11"/>
        <color theme="0"/>
        <rFont val="Calibri"/>
        <family val="2"/>
      </rPr>
      <t>unit price ≥</t>
    </r>
    <r>
      <rPr>
        <sz val="11"/>
        <color theme="0"/>
        <rFont val="Calibri"/>
        <family val="2"/>
        <scheme val="minor"/>
      </rPr>
      <t xml:space="preserve"> R1000</t>
    </r>
  </si>
  <si>
    <t>R100 ≤ unitprice &lt; R1000</t>
  </si>
  <si>
    <t>Please select the approximate unit price for the product you have chosen:</t>
  </si>
  <si>
    <r>
      <t>Carying cost (C</t>
    </r>
    <r>
      <rPr>
        <vertAlign val="subscript"/>
        <sz val="11"/>
        <color theme="1"/>
        <rFont val="Calibri"/>
        <family val="2"/>
        <scheme val="minor"/>
      </rPr>
      <t>h</t>
    </r>
    <r>
      <rPr>
        <sz val="11"/>
        <color theme="1"/>
        <rFont val="Calibri"/>
        <family val="2"/>
        <scheme val="minor"/>
      </rPr>
      <t>) =</t>
    </r>
  </si>
  <si>
    <t xml:space="preserve">Work days per year = </t>
  </si>
  <si>
    <r>
      <t>Ordering cost (C</t>
    </r>
    <r>
      <rPr>
        <vertAlign val="subscript"/>
        <sz val="11"/>
        <color theme="1"/>
        <rFont val="Calibri"/>
        <family val="2"/>
        <scheme val="minor"/>
      </rPr>
      <t>o</t>
    </r>
    <r>
      <rPr>
        <sz val="11"/>
        <color theme="1"/>
        <rFont val="Calibri"/>
        <family val="2"/>
        <scheme val="minor"/>
      </rPr>
      <t>) =</t>
    </r>
  </si>
  <si>
    <t>% of the unit price</t>
  </si>
  <si>
    <t xml:space="preserve">Unit price (P) = </t>
  </si>
  <si>
    <t>Annual demand (D) =</t>
  </si>
  <si>
    <t>Daily production rate (p) =</t>
  </si>
  <si>
    <t xml:space="preserve">Lead time (L) = </t>
  </si>
  <si>
    <t>1. Use this data for a)-d):</t>
  </si>
  <si>
    <r>
      <t>e) Setup cost (C</t>
    </r>
    <r>
      <rPr>
        <vertAlign val="subscript"/>
        <sz val="11"/>
        <color theme="1"/>
        <rFont val="Calibri"/>
        <family val="2"/>
        <scheme val="minor"/>
      </rPr>
      <t>s</t>
    </r>
    <r>
      <rPr>
        <sz val="11"/>
        <color theme="1"/>
        <rFont val="Calibri"/>
        <family val="2"/>
        <scheme val="minor"/>
      </rPr>
      <t xml:space="preserve">) = </t>
    </r>
  </si>
  <si>
    <t xml:space="preserve">f) Number of units ordered = </t>
  </si>
  <si>
    <t>Duration (weeks)</t>
  </si>
  <si>
    <t>Predecessor(s)</t>
  </si>
  <si>
    <t>Activity cost (Rands)</t>
  </si>
  <si>
    <t>A. Write instructions</t>
  </si>
  <si>
    <t>-</t>
  </si>
  <si>
    <t>B. Select operators</t>
  </si>
  <si>
    <t>C. Train operators</t>
  </si>
  <si>
    <t>A, B</t>
  </si>
  <si>
    <t>D. Announce new service</t>
  </si>
  <si>
    <t>B</t>
  </si>
  <si>
    <t>E. Purchase, ship, and receive equipment</t>
  </si>
  <si>
    <t>F. Test new operators on equipment</t>
  </si>
  <si>
    <t>C, E</t>
  </si>
  <si>
    <t>2. Activity</t>
  </si>
  <si>
    <t>1a)</t>
  </si>
  <si>
    <t>1b)</t>
  </si>
  <si>
    <t>1c)</t>
  </si>
  <si>
    <t>1d)</t>
  </si>
  <si>
    <t>1e)</t>
  </si>
  <si>
    <t>1f)</t>
  </si>
  <si>
    <t>A</t>
  </si>
  <si>
    <t>C</t>
  </si>
  <si>
    <t>F</t>
  </si>
  <si>
    <t>Start</t>
  </si>
  <si>
    <t>D</t>
  </si>
  <si>
    <t>E</t>
  </si>
  <si>
    <t>End</t>
  </si>
  <si>
    <t>EF</t>
  </si>
  <si>
    <t>Activity</t>
  </si>
  <si>
    <t>Normal Cost</t>
  </si>
  <si>
    <t>Total Cost with Crashing</t>
  </si>
  <si>
    <t>Normal Time</t>
  </si>
  <si>
    <t xml:space="preserve">Crash Time </t>
  </si>
  <si>
    <t>≈ 7</t>
  </si>
  <si>
    <t>≈ 21</t>
  </si>
  <si>
    <t>setup</t>
  </si>
  <si>
    <t>holding</t>
  </si>
  <si>
    <t>order+holding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</si>
</sst>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R&quot;* #,##0.00_-;\-&quot;R&quot;* #,##0.00_-;_-&quot;R&quot;* &quot;-&quot;??_-;_-@_-"/>
  </numFmts>
  <fonts count="10" x14ac:knownFonts="1">
    <font>
      <sz val="11"/>
      <color theme="1"/>
      <name val="Calibri"/>
      <family val="2"/>
      <scheme val="minor"/>
    </font>
    <font>
      <sz val="11"/>
      <color theme="0"/>
      <name val="Calibri"/>
      <family val="2"/>
      <scheme val="minor"/>
    </font>
    <font>
      <sz val="11"/>
      <color theme="0"/>
      <name val="Calibri"/>
      <family val="2"/>
    </font>
    <font>
      <vertAlign val="subscrip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rgb="FF9C6500"/>
      <name val="Calibri"/>
      <family val="2"/>
      <scheme val="minor"/>
    </font>
    <font>
      <b/>
      <sz val="11"/>
      <color rgb="FFFF0000"/>
      <name val="Calibri"/>
      <family val="2"/>
      <scheme val="minor"/>
    </font>
    <font>
      <sz val="10"/>
      <name val="Arial"/>
      <family val="2"/>
    </font>
  </fonts>
  <fills count="5">
    <fill>
      <patternFill patternType="none"/>
    </fill>
    <fill>
      <patternFill patternType="gray125"/>
    </fill>
    <fill>
      <patternFill patternType="solid">
        <fgColor rgb="FFFFEB9C"/>
      </patternFill>
    </fill>
    <fill>
      <patternFill patternType="solid">
        <fgColor rgb="FFFFFF00"/>
        <bgColor indexed="64"/>
      </patternFill>
    </fill>
    <fill>
      <patternFill patternType="solid">
        <fgColor theme="9" tint="0.39997558519241921"/>
        <bgColor indexed="64"/>
      </patternFill>
    </fill>
  </fills>
  <borders count="33">
    <border>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6">
    <xf numFmtId="0" fontId="0" fillId="0" borderId="0"/>
    <xf numFmtId="0" fontId="7" fillId="2" borderId="0" applyNumberFormat="0" applyBorder="0" applyAlignment="0" applyProtection="0"/>
    <xf numFmtId="0" fontId="4" fillId="0" borderId="0"/>
    <xf numFmtId="0" fontId="9" fillId="0" borderId="0"/>
    <xf numFmtId="0" fontId="4" fillId="0" borderId="0"/>
    <xf numFmtId="164" fontId="9" fillId="0" borderId="0" applyFont="0" applyFill="0" applyBorder="0" applyAlignment="0" applyProtection="0"/>
  </cellStyleXfs>
  <cellXfs count="63">
    <xf numFmtId="0" fontId="0" fillId="0" borderId="0" xfId="0"/>
    <xf numFmtId="0" fontId="1" fillId="0" borderId="0" xfId="0" applyFont="1"/>
    <xf numFmtId="0" fontId="2" fillId="0" borderId="0" xfId="0" applyFont="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Border="1"/>
    <xf numFmtId="0" fontId="0" fillId="0" borderId="16" xfId="0" applyBorder="1" applyAlignment="1">
      <alignment wrapText="1"/>
    </xf>
    <xf numFmtId="0" fontId="6" fillId="0" borderId="0" xfId="0" applyFont="1"/>
    <xf numFmtId="0" fontId="0" fillId="0" borderId="0" xfId="0" applyFill="1" applyBorder="1" applyAlignment="1">
      <alignment wrapText="1"/>
    </xf>
    <xf numFmtId="0" fontId="0" fillId="0" borderId="9" xfId="0" applyBorder="1" applyAlignment="1">
      <alignment horizontal="right"/>
    </xf>
    <xf numFmtId="0" fontId="0" fillId="0" borderId="14" xfId="0" applyBorder="1" applyAlignment="1">
      <alignment horizontal="right"/>
    </xf>
    <xf numFmtId="0" fontId="0" fillId="0" borderId="19" xfId="0" applyBorder="1" applyAlignment="1">
      <alignment horizontal="center" wrapText="1"/>
    </xf>
    <xf numFmtId="0" fontId="0" fillId="0" borderId="0" xfId="0" applyBorder="1" applyAlignment="1">
      <alignment horizontal="right"/>
    </xf>
    <xf numFmtId="0" fontId="0" fillId="0" borderId="10" xfId="0" applyBorder="1"/>
    <xf numFmtId="0" fontId="0" fillId="0" borderId="12" xfId="0" applyBorder="1"/>
    <xf numFmtId="0" fontId="0" fillId="0" borderId="15" xfId="0" applyBorder="1"/>
    <xf numFmtId="0" fontId="0" fillId="0" borderId="0" xfId="0"/>
    <xf numFmtId="0" fontId="0" fillId="0" borderId="0" xfId="0" applyAlignment="1">
      <alignment horizontal="center" wrapText="1"/>
    </xf>
    <xf numFmtId="0" fontId="0" fillId="0" borderId="0" xfId="0" applyAlignment="1">
      <alignment horizontal="center"/>
    </xf>
    <xf numFmtId="0" fontId="0" fillId="0" borderId="0" xfId="0" applyAlignment="1">
      <alignment wrapText="1"/>
    </xf>
    <xf numFmtId="0" fontId="5" fillId="0" borderId="0" xfId="0" quotePrefix="1" applyFont="1" applyAlignment="1">
      <alignment horizontal="left"/>
    </xf>
    <xf numFmtId="0" fontId="8" fillId="0" borderId="0" xfId="0" applyFont="1"/>
    <xf numFmtId="0" fontId="5" fillId="0" borderId="0" xfId="0" applyFont="1" applyAlignment="1">
      <alignment horizontal="left"/>
    </xf>
    <xf numFmtId="0" fontId="0" fillId="0" borderId="20" xfId="0" applyBorder="1" applyAlignment="1">
      <alignment horizontal="center"/>
    </xf>
    <xf numFmtId="0" fontId="0" fillId="0" borderId="21" xfId="0"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19" xfId="0" applyBorder="1" applyAlignment="1">
      <alignment horizontal="center"/>
    </xf>
    <xf numFmtId="0" fontId="0" fillId="3" borderId="19" xfId="0" applyFill="1" applyBorder="1" applyAlignment="1">
      <alignment horizontal="center"/>
    </xf>
    <xf numFmtId="0" fontId="0" fillId="3" borderId="20" xfId="0" applyFill="1" applyBorder="1" applyAlignment="1">
      <alignment horizontal="center"/>
    </xf>
    <xf numFmtId="0" fontId="0" fillId="3" borderId="21" xfId="0" applyFill="1" applyBorder="1" applyAlignment="1">
      <alignment horizontal="center"/>
    </xf>
    <xf numFmtId="0" fontId="0" fillId="3" borderId="1" xfId="0" applyFill="1" applyBorder="1" applyAlignment="1">
      <alignment horizontal="center"/>
    </xf>
    <xf numFmtId="0" fontId="0" fillId="3" borderId="3" xfId="0" applyFill="1" applyBorder="1" applyAlignment="1">
      <alignment horizontal="center"/>
    </xf>
    <xf numFmtId="0" fontId="0" fillId="3" borderId="22" xfId="0" applyFill="1" applyBorder="1" applyAlignment="1">
      <alignment horizontal="center"/>
    </xf>
    <xf numFmtId="0" fontId="6" fillId="4" borderId="22" xfId="0" applyFont="1" applyFill="1" applyBorder="1" applyAlignment="1">
      <alignment horizontal="center" wrapText="1"/>
    </xf>
    <xf numFmtId="0" fontId="6" fillId="4" borderId="22" xfId="0" applyFont="1" applyFill="1" applyBorder="1" applyAlignment="1">
      <alignment horizontal="center"/>
    </xf>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0" fillId="0" borderId="31" xfId="0" applyBorder="1" applyAlignment="1">
      <alignment wrapText="1"/>
    </xf>
    <xf numFmtId="0" fontId="0" fillId="0" borderId="32" xfId="0" applyBorder="1" applyAlignment="1">
      <alignment wrapText="1"/>
    </xf>
    <xf numFmtId="0" fontId="0" fillId="4" borderId="0" xfId="0" applyFill="1"/>
    <xf numFmtId="0" fontId="0" fillId="0" borderId="4" xfId="0" applyBorder="1" applyAlignment="1">
      <alignment horizontal="left"/>
    </xf>
    <xf numFmtId="0" fontId="0" fillId="0" borderId="5" xfId="0" applyBorder="1" applyAlignment="1">
      <alignment horizontal="left"/>
    </xf>
    <xf numFmtId="0" fontId="0" fillId="0" borderId="6" xfId="0" applyBorder="1" applyAlignment="1">
      <alignment horizontal="left"/>
    </xf>
    <xf numFmtId="0" fontId="0" fillId="0" borderId="1" xfId="0" applyBorder="1" applyAlignment="1">
      <alignment horizontal="left"/>
    </xf>
    <xf numFmtId="0" fontId="0" fillId="0" borderId="2" xfId="0" applyBorder="1" applyAlignment="1">
      <alignment horizontal="left"/>
    </xf>
    <xf numFmtId="0" fontId="0" fillId="0" borderId="3" xfId="0" applyBorder="1" applyAlignment="1">
      <alignment horizontal="left"/>
    </xf>
  </cellXfs>
  <cellStyles count="6">
    <cellStyle name="Currency 2 2" xfId="5" xr:uid="{79EEF9DC-A9A4-4D58-8256-F512B8C6998F}"/>
    <cellStyle name="Neutral 2" xfId="1" xr:uid="{56AB36CC-B9E1-4071-BE6E-00F37724188B}"/>
    <cellStyle name="Normal" xfId="0" builtinId="0"/>
    <cellStyle name="Normal 2 2" xfId="3" xr:uid="{9CC2F35E-D7A9-4930-802C-31A3AE4E39E6}"/>
    <cellStyle name="Normal 3 6 2 2 3" xfId="4" xr:uid="{FE02AC01-A983-4460-94B8-7F7600CA1FCE}"/>
    <cellStyle name="Normal 7" xfId="2" xr:uid="{E062BCEE-4162-42C2-8AC7-52B98DA60C5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8BD21D30-EC42-11CE-9E0D-00AA006002F3}" ax:persistence="persistStreamInit" r:id="rId1"/>
</file>

<file path=xl/drawings/_rels/drawing1.xml.rels><?xml version="1.0" encoding="UTF-8" standalone="yes"?>
<Relationships xmlns="http://schemas.openxmlformats.org/package/2006/relationships"><Relationship Id="rId8" Type="http://schemas.openxmlformats.org/officeDocument/2006/relationships/image" Target="../media/image10.png"/><Relationship Id="rId3" Type="http://schemas.openxmlformats.org/officeDocument/2006/relationships/image" Target="../media/image5.png"/><Relationship Id="rId7" Type="http://schemas.openxmlformats.org/officeDocument/2006/relationships/image" Target="../media/image9.png"/><Relationship Id="rId2" Type="http://schemas.openxmlformats.org/officeDocument/2006/relationships/image" Target="../media/image4.png"/><Relationship Id="rId1" Type="http://schemas.openxmlformats.org/officeDocument/2006/relationships/image" Target="../media/image3.png"/><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104775</xdr:colOff>
      <xdr:row>4</xdr:row>
      <xdr:rowOff>70485</xdr:rowOff>
    </xdr:from>
    <xdr:to>
      <xdr:col>11</xdr:col>
      <xdr:colOff>152400</xdr:colOff>
      <xdr:row>20</xdr:row>
      <xdr:rowOff>129540</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104775" y="718185"/>
          <a:ext cx="6859905" cy="2985135"/>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i="0">
              <a:solidFill>
                <a:schemeClr val="dk1"/>
              </a:solidFill>
              <a:effectLst/>
              <a:latin typeface="+mn-lt"/>
              <a:ea typeface="+mn-ea"/>
              <a:cs typeface="+mn-cs"/>
            </a:rPr>
            <a:t>1. </a:t>
          </a:r>
          <a:r>
            <a:rPr lang="en-ZA" sz="1200" b="0" i="0" u="none" strike="noStrike" baseline="0">
              <a:solidFill>
                <a:schemeClr val="dk1"/>
              </a:solidFill>
              <a:latin typeface="+mn-lt"/>
              <a:ea typeface="+mn-ea"/>
              <a:cs typeface="+mn-cs"/>
            </a:rPr>
            <a:t>This question relates to one of the products that your company provides. Select the approximate price range for this product above and generate your data. The annual demand (D) is constant throughout the year. Use the information provided for each part of the question.</a:t>
          </a:r>
          <a:endParaRPr lang="en-US" sz="1200" i="0">
            <a:solidFill>
              <a:schemeClr val="dk1"/>
            </a:solidFill>
            <a:effectLst/>
            <a:latin typeface="+mn-lt"/>
            <a:ea typeface="+mn-ea"/>
            <a:cs typeface="+mn-cs"/>
          </a:endParaRPr>
        </a:p>
        <a:p>
          <a:endParaRPr lang="en-ZA" sz="1200">
            <a:effectLst/>
          </a:endParaRPr>
        </a:p>
        <a:p>
          <a:pPr lvl="0"/>
          <a:r>
            <a:rPr lang="en-ZA" sz="1200" i="0">
              <a:solidFill>
                <a:schemeClr val="dk1"/>
              </a:solidFill>
              <a:effectLst/>
              <a:latin typeface="+mn-lt"/>
              <a:ea typeface="+mn-ea"/>
              <a:cs typeface="+mn-cs"/>
            </a:rPr>
            <a:t>2. </a:t>
          </a:r>
          <a:r>
            <a:rPr lang="en-ZA" sz="1200">
              <a:solidFill>
                <a:schemeClr val="dk1"/>
              </a:solidFill>
              <a:effectLst/>
              <a:latin typeface="+mn-lt"/>
              <a:ea typeface="+mn-ea"/>
              <a:cs typeface="+mn-cs"/>
            </a:rPr>
            <a:t>You decide to prepare for the manufacturing process while your analysis is being done. You identify the following steps for this process: </a:t>
          </a:r>
        </a:p>
        <a:p>
          <a:r>
            <a:rPr lang="en-ZA" sz="1200">
              <a:solidFill>
                <a:schemeClr val="dk1"/>
              </a:solidFill>
              <a:effectLst/>
              <a:latin typeface="+mn-lt"/>
              <a:ea typeface="+mn-ea"/>
              <a:cs typeface="+mn-cs"/>
            </a:rPr>
            <a:t>(1) write instructions and procedures, </a:t>
          </a:r>
        </a:p>
        <a:p>
          <a:r>
            <a:rPr lang="en-ZA" sz="1200">
              <a:solidFill>
                <a:schemeClr val="dk1"/>
              </a:solidFill>
              <a:effectLst/>
              <a:latin typeface="+mn-lt"/>
              <a:ea typeface="+mn-ea"/>
              <a:cs typeface="+mn-cs"/>
            </a:rPr>
            <a:t>(2) select techniques to operate the equipment, and </a:t>
          </a:r>
        </a:p>
        <a:p>
          <a:r>
            <a:rPr lang="en-ZA" sz="1200">
              <a:solidFill>
                <a:schemeClr val="dk1"/>
              </a:solidFill>
              <a:effectLst/>
              <a:latin typeface="+mn-lt"/>
              <a:ea typeface="+mn-ea"/>
              <a:cs typeface="+mn-cs"/>
            </a:rPr>
            <a:t>(3) procure the equipment. </a:t>
          </a:r>
        </a:p>
        <a:p>
          <a:r>
            <a:rPr lang="en-ZA" sz="1200">
              <a:solidFill>
                <a:schemeClr val="dk1"/>
              </a:solidFill>
              <a:effectLst/>
              <a:latin typeface="+mn-lt"/>
              <a:ea typeface="+mn-ea"/>
              <a:cs typeface="+mn-cs"/>
            </a:rPr>
            <a:t>The instructions and selection of the operators has to be completed before the training could commence. It is also necessary to choose the operators and evaluate their qualifications before formally announcing the new service to the local community. Upon arrival and installation of the equipment and completion of the operators' training, you will have to spend a period checking out the procedures, operators, and equipment before declaring that the project was successfully completed. Find your data in cells A33 through G39.</a:t>
          </a:r>
          <a:endParaRPr lang="en-ZA" sz="1200">
            <a:effectLst/>
          </a:endParaRPr>
        </a:p>
      </xdr:txBody>
    </xdr:sp>
    <xdr:clientData/>
  </xdr:twoCellAnchor>
  <mc:AlternateContent xmlns:mc="http://schemas.openxmlformats.org/markup-compatibility/2006">
    <mc:Choice xmlns:a14="http://schemas.microsoft.com/office/drawing/2010/main" Requires="a14">
      <xdr:twoCellAnchor editAs="oneCell">
        <xdr:from>
          <xdr:col>9</xdr:col>
          <xdr:colOff>266700</xdr:colOff>
          <xdr:row>1</xdr:row>
          <xdr:rowOff>7620</xdr:rowOff>
        </xdr:from>
        <xdr:to>
          <xdr:col>12</xdr:col>
          <xdr:colOff>167640</xdr:colOff>
          <xdr:row>2</xdr:row>
          <xdr:rowOff>160020</xdr:rowOff>
        </xdr:to>
        <xdr:sp macro="" textlink="">
          <xdr:nvSpPr>
            <xdr:cNvPr id="1025" name="CommandButton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106680</xdr:colOff>
          <xdr:row>2</xdr:row>
          <xdr:rowOff>175260</xdr:rowOff>
        </xdr:from>
        <xdr:to>
          <xdr:col>11</xdr:col>
          <xdr:colOff>350520</xdr:colOff>
          <xdr:row>4</xdr:row>
          <xdr:rowOff>7620</xdr:rowOff>
        </xdr:to>
        <xdr:sp macro="" textlink="">
          <xdr:nvSpPr>
            <xdr:cNvPr id="1028" name="ComboBox1"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editAs="oneCell">
    <xdr:from>
      <xdr:col>8</xdr:col>
      <xdr:colOff>259080</xdr:colOff>
      <xdr:row>21</xdr:row>
      <xdr:rowOff>15241</xdr:rowOff>
    </xdr:from>
    <xdr:to>
      <xdr:col>9</xdr:col>
      <xdr:colOff>594360</xdr:colOff>
      <xdr:row>22</xdr:row>
      <xdr:rowOff>161769</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5242560" y="3771901"/>
          <a:ext cx="944880" cy="329408"/>
        </a:xfrm>
        <a:prstGeom prst="rect">
          <a:avLst/>
        </a:prstGeom>
      </xdr:spPr>
    </xdr:pic>
    <xdr:clientData/>
  </xdr:twoCellAnchor>
  <xdr:twoCellAnchor editAs="oneCell">
    <xdr:from>
      <xdr:col>9</xdr:col>
      <xdr:colOff>358141</xdr:colOff>
      <xdr:row>23</xdr:row>
      <xdr:rowOff>60960</xdr:rowOff>
    </xdr:from>
    <xdr:to>
      <xdr:col>9</xdr:col>
      <xdr:colOff>480823</xdr:colOff>
      <xdr:row>25</xdr:row>
      <xdr:rowOff>30480</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5951221" y="4183380"/>
          <a:ext cx="122682" cy="350520"/>
        </a:xfrm>
        <a:prstGeom prst="rect">
          <a:avLst/>
        </a:prstGeom>
      </xdr:spPr>
    </xdr:pic>
    <xdr:clientData/>
  </xdr:twoCellAnchor>
  <xdr:twoCellAnchor editAs="oneCell">
    <xdr:from>
      <xdr:col>8</xdr:col>
      <xdr:colOff>312421</xdr:colOff>
      <xdr:row>25</xdr:row>
      <xdr:rowOff>190501</xdr:rowOff>
    </xdr:from>
    <xdr:to>
      <xdr:col>9</xdr:col>
      <xdr:colOff>358141</xdr:colOff>
      <xdr:row>27</xdr:row>
      <xdr:rowOff>15459</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a:stretch>
          <a:fillRect/>
        </a:stretch>
      </xdr:blipFill>
      <xdr:spPr>
        <a:xfrm>
          <a:off x="5295901" y="4693921"/>
          <a:ext cx="655320" cy="205958"/>
        </a:xfrm>
        <a:prstGeom prst="rect">
          <a:avLst/>
        </a:prstGeom>
      </xdr:spPr>
    </xdr:pic>
    <xdr:clientData/>
  </xdr:twoCellAnchor>
  <xdr:twoCellAnchor editAs="oneCell">
    <xdr:from>
      <xdr:col>9</xdr:col>
      <xdr:colOff>121921</xdr:colOff>
      <xdr:row>29</xdr:row>
      <xdr:rowOff>144780</xdr:rowOff>
    </xdr:from>
    <xdr:to>
      <xdr:col>10</xdr:col>
      <xdr:colOff>312421</xdr:colOff>
      <xdr:row>31</xdr:row>
      <xdr:rowOff>144498</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4"/>
        <a:stretch>
          <a:fillRect/>
        </a:stretch>
      </xdr:blipFill>
      <xdr:spPr>
        <a:xfrm>
          <a:off x="5715001" y="5410200"/>
          <a:ext cx="800100" cy="365478"/>
        </a:xfrm>
        <a:prstGeom prst="rect">
          <a:avLst/>
        </a:prstGeom>
      </xdr:spPr>
    </xdr:pic>
    <xdr:clientData/>
  </xdr:twoCellAnchor>
  <xdr:twoCellAnchor editAs="oneCell">
    <xdr:from>
      <xdr:col>8</xdr:col>
      <xdr:colOff>407670</xdr:colOff>
      <xdr:row>32</xdr:row>
      <xdr:rowOff>194310</xdr:rowOff>
    </xdr:from>
    <xdr:to>
      <xdr:col>11</xdr:col>
      <xdr:colOff>379346</xdr:colOff>
      <xdr:row>33</xdr:row>
      <xdr:rowOff>32440</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5"/>
        <a:stretch>
          <a:fillRect/>
        </a:stretch>
      </xdr:blipFill>
      <xdr:spPr>
        <a:xfrm>
          <a:off x="4998720" y="5966460"/>
          <a:ext cx="1800476" cy="390580"/>
        </a:xfrm>
        <a:prstGeom prst="rect">
          <a:avLst/>
        </a:prstGeom>
      </xdr:spPr>
    </xdr:pic>
    <xdr:clientData/>
  </xdr:twoCellAnchor>
  <xdr:twoCellAnchor editAs="oneCell">
    <xdr:from>
      <xdr:col>8</xdr:col>
      <xdr:colOff>304800</xdr:colOff>
      <xdr:row>27</xdr:row>
      <xdr:rowOff>167640</xdr:rowOff>
    </xdr:from>
    <xdr:to>
      <xdr:col>9</xdr:col>
      <xdr:colOff>347529</xdr:colOff>
      <xdr:row>28</xdr:row>
      <xdr:rowOff>192042</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6"/>
        <a:stretch>
          <a:fillRect/>
        </a:stretch>
      </xdr:blipFill>
      <xdr:spPr>
        <a:xfrm>
          <a:off x="5288280" y="5052060"/>
          <a:ext cx="652329" cy="207282"/>
        </a:xfrm>
        <a:prstGeom prst="rect">
          <a:avLst/>
        </a:prstGeom>
      </xdr:spPr>
    </xdr:pic>
    <xdr:clientData/>
  </xdr:twoCellAnchor>
  <xdr:twoCellAnchor>
    <xdr:from>
      <xdr:col>4</xdr:col>
      <xdr:colOff>0</xdr:colOff>
      <xdr:row>42</xdr:row>
      <xdr:rowOff>45720</xdr:rowOff>
    </xdr:from>
    <xdr:to>
      <xdr:col>4</xdr:col>
      <xdr:colOff>601980</xdr:colOff>
      <xdr:row>44</xdr:row>
      <xdr:rowOff>91440</xdr:rowOff>
    </xdr:to>
    <xdr:cxnSp macro="">
      <xdr:nvCxnSpPr>
        <xdr:cNvPr id="34" name="Straight Arrow Connector 33">
          <a:extLst>
            <a:ext uri="{FF2B5EF4-FFF2-40B4-BE49-F238E27FC236}">
              <a16:creationId xmlns:a16="http://schemas.microsoft.com/office/drawing/2014/main" id="{00000000-0008-0000-0000-000022000000}"/>
            </a:ext>
          </a:extLst>
        </xdr:cNvPr>
        <xdr:cNvCxnSpPr/>
      </xdr:nvCxnSpPr>
      <xdr:spPr>
        <a:xfrm flipV="1">
          <a:off x="3954780" y="1196340"/>
          <a:ext cx="601980" cy="42672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525780</xdr:colOff>
      <xdr:row>44</xdr:row>
      <xdr:rowOff>121920</xdr:rowOff>
    </xdr:from>
    <xdr:to>
      <xdr:col>5</xdr:col>
      <xdr:colOff>0</xdr:colOff>
      <xdr:row>46</xdr:row>
      <xdr:rowOff>45720</xdr:rowOff>
    </xdr:to>
    <xdr:cxnSp macro="">
      <xdr:nvCxnSpPr>
        <xdr:cNvPr id="35" name="Straight Arrow Connector 34">
          <a:extLst>
            <a:ext uri="{FF2B5EF4-FFF2-40B4-BE49-F238E27FC236}">
              <a16:creationId xmlns:a16="http://schemas.microsoft.com/office/drawing/2014/main" id="{00000000-0008-0000-0000-000023000000}"/>
            </a:ext>
          </a:extLst>
        </xdr:cNvPr>
        <xdr:cNvCxnSpPr/>
      </xdr:nvCxnSpPr>
      <xdr:spPr>
        <a:xfrm>
          <a:off x="2354580" y="8519160"/>
          <a:ext cx="579120" cy="30480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601980</xdr:colOff>
      <xdr:row>42</xdr:row>
      <xdr:rowOff>0</xdr:rowOff>
    </xdr:from>
    <xdr:to>
      <xdr:col>9</xdr:col>
      <xdr:colOff>7620</xdr:colOff>
      <xdr:row>43</xdr:row>
      <xdr:rowOff>0</xdr:rowOff>
    </xdr:to>
    <xdr:cxnSp macro="">
      <xdr:nvCxnSpPr>
        <xdr:cNvPr id="37" name="Straight Arrow Connector 36">
          <a:extLst>
            <a:ext uri="{FF2B5EF4-FFF2-40B4-BE49-F238E27FC236}">
              <a16:creationId xmlns:a16="http://schemas.microsoft.com/office/drawing/2014/main" id="{00000000-0008-0000-0000-000025000000}"/>
            </a:ext>
          </a:extLst>
        </xdr:cNvPr>
        <xdr:cNvCxnSpPr/>
      </xdr:nvCxnSpPr>
      <xdr:spPr>
        <a:xfrm>
          <a:off x="4411980" y="8023860"/>
          <a:ext cx="1028700" cy="18288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601980</xdr:colOff>
      <xdr:row>43</xdr:row>
      <xdr:rowOff>144780</xdr:rowOff>
    </xdr:from>
    <xdr:to>
      <xdr:col>9</xdr:col>
      <xdr:colOff>0</xdr:colOff>
      <xdr:row>46</xdr:row>
      <xdr:rowOff>83820</xdr:rowOff>
    </xdr:to>
    <xdr:cxnSp macro="">
      <xdr:nvCxnSpPr>
        <xdr:cNvPr id="38" name="Straight Arrow Connector 37">
          <a:extLst>
            <a:ext uri="{FF2B5EF4-FFF2-40B4-BE49-F238E27FC236}">
              <a16:creationId xmlns:a16="http://schemas.microsoft.com/office/drawing/2014/main" id="{00000000-0008-0000-0000-000026000000}"/>
            </a:ext>
          </a:extLst>
        </xdr:cNvPr>
        <xdr:cNvCxnSpPr/>
      </xdr:nvCxnSpPr>
      <xdr:spPr>
        <a:xfrm flipV="1">
          <a:off x="4411980" y="8351520"/>
          <a:ext cx="1021080" cy="51054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0</xdr:colOff>
      <xdr:row>46</xdr:row>
      <xdr:rowOff>83820</xdr:rowOff>
    </xdr:from>
    <xdr:to>
      <xdr:col>9</xdr:col>
      <xdr:colOff>15240</xdr:colOff>
      <xdr:row>47</xdr:row>
      <xdr:rowOff>99060</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419600" y="8862060"/>
          <a:ext cx="1028700" cy="20574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571500</xdr:colOff>
      <xdr:row>44</xdr:row>
      <xdr:rowOff>106680</xdr:rowOff>
    </xdr:from>
    <xdr:to>
      <xdr:col>12</xdr:col>
      <xdr:colOff>30480</xdr:colOff>
      <xdr:row>44</xdr:row>
      <xdr:rowOff>106680</xdr:rowOff>
    </xdr:to>
    <xdr:cxnSp macro="">
      <xdr:nvCxnSpPr>
        <xdr:cNvPr id="40" name="Straight Arrow Connector 39">
          <a:extLst>
            <a:ext uri="{FF2B5EF4-FFF2-40B4-BE49-F238E27FC236}">
              <a16:creationId xmlns:a16="http://schemas.microsoft.com/office/drawing/2014/main" id="{00000000-0008-0000-0000-000028000000}"/>
            </a:ext>
          </a:extLst>
        </xdr:cNvPr>
        <xdr:cNvCxnSpPr/>
      </xdr:nvCxnSpPr>
      <xdr:spPr>
        <a:xfrm>
          <a:off x="6614160" y="8503920"/>
          <a:ext cx="678180"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15240</xdr:colOff>
      <xdr:row>45</xdr:row>
      <xdr:rowOff>106680</xdr:rowOff>
    </xdr:from>
    <xdr:to>
      <xdr:col>11</xdr:col>
      <xdr:colOff>601980</xdr:colOff>
      <xdr:row>50</xdr:row>
      <xdr:rowOff>91440</xdr:rowOff>
    </xdr:to>
    <xdr:cxnSp macro="">
      <xdr:nvCxnSpPr>
        <xdr:cNvPr id="43" name="Elbow Connector 10">
          <a:extLst>
            <a:ext uri="{FF2B5EF4-FFF2-40B4-BE49-F238E27FC236}">
              <a16:creationId xmlns:a16="http://schemas.microsoft.com/office/drawing/2014/main" id="{00000000-0008-0000-0000-00002B000000}"/>
            </a:ext>
          </a:extLst>
        </xdr:cNvPr>
        <xdr:cNvCxnSpPr/>
      </xdr:nvCxnSpPr>
      <xdr:spPr>
        <a:xfrm flipV="1">
          <a:off x="4434840" y="8694420"/>
          <a:ext cx="2819400" cy="929640"/>
        </a:xfrm>
        <a:prstGeom prst="bentConnector3">
          <a:avLst>
            <a:gd name="adj1" fmla="val 89730"/>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0</xdr:colOff>
      <xdr:row>44</xdr:row>
      <xdr:rowOff>182880</xdr:rowOff>
    </xdr:from>
    <xdr:to>
      <xdr:col>4</xdr:col>
      <xdr:colOff>541020</xdr:colOff>
      <xdr:row>49</xdr:row>
      <xdr:rowOff>22860</xdr:rowOff>
    </xdr:to>
    <xdr:cxnSp macro="">
      <xdr:nvCxnSpPr>
        <xdr:cNvPr id="60" name="Straight Arrow Connector 59">
          <a:extLst>
            <a:ext uri="{FF2B5EF4-FFF2-40B4-BE49-F238E27FC236}">
              <a16:creationId xmlns:a16="http://schemas.microsoft.com/office/drawing/2014/main" id="{00000000-0008-0000-0000-00003C000000}"/>
            </a:ext>
          </a:extLst>
        </xdr:cNvPr>
        <xdr:cNvCxnSpPr/>
      </xdr:nvCxnSpPr>
      <xdr:spPr>
        <a:xfrm>
          <a:off x="2377440" y="8580120"/>
          <a:ext cx="541020" cy="784860"/>
        </a:xfrm>
        <a:prstGeom prst="straightConnector1">
          <a:avLst/>
        </a:prstGeom>
        <a:noFill/>
        <a:ln w="6350" cap="flat" cmpd="sng" algn="ctr">
          <a:solidFill>
            <a:sysClr val="windowText" lastClr="000000"/>
          </a:solidFill>
          <a:prstDash val="solid"/>
          <a:miter lim="800000"/>
          <a:tailEnd type="triangle"/>
        </a:ln>
        <a:effectLst/>
      </xdr:spPr>
    </xdr:cxnSp>
    <xdr:clientData/>
  </xdr:twoCellAnchor>
  <xdr:twoCellAnchor>
    <xdr:from>
      <xdr:col>13</xdr:col>
      <xdr:colOff>601980</xdr:colOff>
      <xdr:row>44</xdr:row>
      <xdr:rowOff>45720</xdr:rowOff>
    </xdr:from>
    <xdr:to>
      <xdr:col>16</xdr:col>
      <xdr:colOff>7620</xdr:colOff>
      <xdr:row>44</xdr:row>
      <xdr:rowOff>60960</xdr:rowOff>
    </xdr:to>
    <xdr:cxnSp macro="">
      <xdr:nvCxnSpPr>
        <xdr:cNvPr id="71" name="Straight Arrow Connector 70">
          <a:extLst>
            <a:ext uri="{FF2B5EF4-FFF2-40B4-BE49-F238E27FC236}">
              <a16:creationId xmlns:a16="http://schemas.microsoft.com/office/drawing/2014/main" id="{00000000-0008-0000-0000-000047000000}"/>
            </a:ext>
          </a:extLst>
        </xdr:cNvPr>
        <xdr:cNvCxnSpPr/>
      </xdr:nvCxnSpPr>
      <xdr:spPr>
        <a:xfrm>
          <a:off x="8244840" y="8450580"/>
          <a:ext cx="1234440" cy="15240"/>
        </a:xfrm>
        <a:prstGeom prst="straightConnector1">
          <a:avLst/>
        </a:prstGeom>
        <a:noFill/>
        <a:ln w="6350" cap="flat" cmpd="sng" algn="ctr">
          <a:solidFill>
            <a:sysClr val="windowText" lastClr="000000"/>
          </a:solidFill>
          <a:prstDash val="solid"/>
          <a:miter lim="800000"/>
          <a:tailEnd type="triangle"/>
        </a:ln>
        <a:effectLst/>
      </xdr:spPr>
    </xdr:cxnSp>
    <xdr:clientData/>
  </xdr:twoCellAnchor>
  <xdr:twoCellAnchor>
    <xdr:from>
      <xdr:col>11</xdr:col>
      <xdr:colOff>0</xdr:colOff>
      <xdr:row>44</xdr:row>
      <xdr:rowOff>144780</xdr:rowOff>
    </xdr:from>
    <xdr:to>
      <xdr:col>16</xdr:col>
      <xdr:colOff>7620</xdr:colOff>
      <xdr:row>47</xdr:row>
      <xdr:rowOff>175260</xdr:rowOff>
    </xdr:to>
    <xdr:cxnSp macro="">
      <xdr:nvCxnSpPr>
        <xdr:cNvPr id="90" name="Elbow Connector 10">
          <a:extLst>
            <a:ext uri="{FF2B5EF4-FFF2-40B4-BE49-F238E27FC236}">
              <a16:creationId xmlns:a16="http://schemas.microsoft.com/office/drawing/2014/main" id="{00000000-0008-0000-0000-00005A000000}"/>
            </a:ext>
          </a:extLst>
        </xdr:cNvPr>
        <xdr:cNvCxnSpPr/>
      </xdr:nvCxnSpPr>
      <xdr:spPr>
        <a:xfrm flipV="1">
          <a:off x="6423660" y="8549640"/>
          <a:ext cx="3055620" cy="601980"/>
        </a:xfrm>
        <a:prstGeom prst="bentConnector3">
          <a:avLst>
            <a:gd name="adj1" fmla="val 76434"/>
          </a:avLst>
        </a:prstGeom>
        <a:noFill/>
        <a:ln w="6350" cap="flat" cmpd="sng" algn="ctr">
          <a:solidFill>
            <a:sysClr val="windowText" lastClr="000000"/>
          </a:solidFill>
          <a:prstDash val="solid"/>
          <a:miter lim="800000"/>
          <a:tailEnd type="triangle"/>
        </a:ln>
        <a:effectLst/>
      </xdr:spPr>
    </xdr:cxnSp>
    <xdr:clientData/>
  </xdr:twoCellAnchor>
  <xdr:twoCellAnchor editAs="oneCell">
    <xdr:from>
      <xdr:col>12</xdr:col>
      <xdr:colOff>350520</xdr:colOff>
      <xdr:row>27</xdr:row>
      <xdr:rowOff>129541</xdr:rowOff>
    </xdr:from>
    <xdr:to>
      <xdr:col>14</xdr:col>
      <xdr:colOff>88317</xdr:colOff>
      <xdr:row>29</xdr:row>
      <xdr:rowOff>106681</xdr:rowOff>
    </xdr:to>
    <xdr:pic>
      <xdr:nvPicPr>
        <xdr:cNvPr id="93" name="Picture 92">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7"/>
        <a:stretch>
          <a:fillRect/>
        </a:stretch>
      </xdr:blipFill>
      <xdr:spPr>
        <a:xfrm>
          <a:off x="7383780" y="5013961"/>
          <a:ext cx="956997" cy="358140"/>
        </a:xfrm>
        <a:prstGeom prst="rect">
          <a:avLst/>
        </a:prstGeom>
      </xdr:spPr>
    </xdr:pic>
    <xdr:clientData/>
  </xdr:twoCellAnchor>
  <xdr:twoCellAnchor editAs="oneCell">
    <xdr:from>
      <xdr:col>12</xdr:col>
      <xdr:colOff>177166</xdr:colOff>
      <xdr:row>29</xdr:row>
      <xdr:rowOff>83821</xdr:rowOff>
    </xdr:from>
    <xdr:to>
      <xdr:col>14</xdr:col>
      <xdr:colOff>481356</xdr:colOff>
      <xdr:row>31</xdr:row>
      <xdr:rowOff>106681</xdr:rowOff>
    </xdr:to>
    <xdr:pic>
      <xdr:nvPicPr>
        <xdr:cNvPr id="95" name="Picture 94">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8"/>
        <a:stretch>
          <a:fillRect/>
        </a:stretch>
      </xdr:blipFill>
      <xdr:spPr>
        <a:xfrm>
          <a:off x="7206616" y="5313046"/>
          <a:ext cx="1523390" cy="38481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ntrol" Target="../activeX/activeX2.xml"/><Relationship Id="rId5" Type="http://schemas.openxmlformats.org/officeDocument/2006/relationships/image" Target="../media/image1.emf"/><Relationship Id="rId4" Type="http://schemas.openxmlformats.org/officeDocument/2006/relationships/control" Target="../activeX/activeX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R52"/>
  <sheetViews>
    <sheetView tabSelected="1" topLeftCell="A43" zoomScale="80" zoomScaleNormal="80" workbookViewId="0">
      <selection activeCell="L17" sqref="L17"/>
    </sheetView>
  </sheetViews>
  <sheetFormatPr defaultRowHeight="14.4" x14ac:dyDescent="0.3"/>
  <cols>
    <col min="4" max="4" width="8" customWidth="1"/>
    <col min="5" max="5" width="8.109375" customWidth="1"/>
    <col min="6" max="6" width="9.44140625" customWidth="1"/>
    <col min="8" max="8" width="5.88671875" customWidth="1"/>
  </cols>
  <sheetData>
    <row r="1" spans="1:13" ht="6.6" customHeight="1" thickBot="1" x14ac:dyDescent="0.35"/>
    <row r="2" spans="1:13" ht="15" thickBot="1" x14ac:dyDescent="0.35">
      <c r="A2" t="s">
        <v>1</v>
      </c>
      <c r="C2" s="57"/>
      <c r="D2" s="58"/>
      <c r="E2" s="58"/>
      <c r="F2" s="58"/>
      <c r="G2" s="58"/>
      <c r="H2" s="58"/>
      <c r="I2" s="59"/>
    </row>
    <row r="3" spans="1:13" ht="15" thickBot="1" x14ac:dyDescent="0.35">
      <c r="A3" t="s">
        <v>0</v>
      </c>
      <c r="C3" s="60"/>
      <c r="D3" s="61"/>
      <c r="E3" s="61"/>
      <c r="F3" s="61"/>
      <c r="G3" s="61"/>
      <c r="H3" s="61"/>
      <c r="I3" s="62"/>
    </row>
    <row r="4" spans="1:13" x14ac:dyDescent="0.3">
      <c r="A4" t="s">
        <v>6</v>
      </c>
    </row>
    <row r="6" spans="1:13" x14ac:dyDescent="0.3">
      <c r="B6" s="1" t="s">
        <v>2</v>
      </c>
    </row>
    <row r="7" spans="1:13" x14ac:dyDescent="0.3">
      <c r="B7" s="1" t="s">
        <v>3</v>
      </c>
    </row>
    <row r="8" spans="1:13" x14ac:dyDescent="0.3">
      <c r="B8" s="2" t="s">
        <v>5</v>
      </c>
    </row>
    <row r="9" spans="1:13" x14ac:dyDescent="0.3">
      <c r="B9" s="1" t="s">
        <v>4</v>
      </c>
    </row>
    <row r="11" spans="1:13" x14ac:dyDescent="0.3">
      <c r="M11">
        <f>D23/D24</f>
        <v>1.1363636363636365</v>
      </c>
    </row>
    <row r="22" spans="1:18" x14ac:dyDescent="0.3">
      <c r="A22" t="s">
        <v>15</v>
      </c>
      <c r="D22" s="15"/>
    </row>
    <row r="23" spans="1:18" x14ac:dyDescent="0.3">
      <c r="A23" t="s">
        <v>12</v>
      </c>
      <c r="D23" s="3">
        <v>100</v>
      </c>
      <c r="H23" s="1" t="s">
        <v>5</v>
      </c>
      <c r="I23" t="s">
        <v>32</v>
      </c>
      <c r="K23">
        <f>SQRT(2*(100)*(8)/(0.02*D27))</f>
        <v>20</v>
      </c>
      <c r="L23" s="17"/>
    </row>
    <row r="24" spans="1:18" x14ac:dyDescent="0.3">
      <c r="A24" t="s">
        <v>8</v>
      </c>
      <c r="D24" s="3">
        <v>88</v>
      </c>
    </row>
    <row r="25" spans="1:18" ht="15.6" x14ac:dyDescent="0.35">
      <c r="A25" t="s">
        <v>9</v>
      </c>
      <c r="D25" s="3">
        <v>8</v>
      </c>
      <c r="I25" t="s">
        <v>33</v>
      </c>
      <c r="K25">
        <f>D23/K23</f>
        <v>5</v>
      </c>
    </row>
    <row r="26" spans="1:18" ht="15.6" x14ac:dyDescent="0.35">
      <c r="A26" t="s">
        <v>7</v>
      </c>
      <c r="D26" s="3">
        <v>2</v>
      </c>
      <c r="E26" t="s">
        <v>10</v>
      </c>
      <c r="G26">
        <f>0.02*D27</f>
        <v>4</v>
      </c>
    </row>
    <row r="27" spans="1:18" x14ac:dyDescent="0.3">
      <c r="A27" t="s">
        <v>11</v>
      </c>
      <c r="D27" s="3">
        <v>200</v>
      </c>
      <c r="I27" t="s">
        <v>34</v>
      </c>
      <c r="K27">
        <f>M11*D28</f>
        <v>6.8181818181818183</v>
      </c>
      <c r="L27" t="s">
        <v>51</v>
      </c>
    </row>
    <row r="28" spans="1:18" x14ac:dyDescent="0.3">
      <c r="A28" t="s">
        <v>14</v>
      </c>
      <c r="D28" s="3">
        <v>6</v>
      </c>
      <c r="P28" t="s">
        <v>55</v>
      </c>
    </row>
    <row r="29" spans="1:18" ht="15.6" x14ac:dyDescent="0.35">
      <c r="A29" t="s">
        <v>16</v>
      </c>
      <c r="D29" s="3">
        <v>20</v>
      </c>
      <c r="I29" t="s">
        <v>35</v>
      </c>
      <c r="K29">
        <f>M11*(D28*3)</f>
        <v>20.454545454545457</v>
      </c>
      <c r="L29" t="s">
        <v>52</v>
      </c>
      <c r="P29" s="56">
        <f>(D23/K23)*D25+(K23/2)*G26</f>
        <v>80</v>
      </c>
    </row>
    <row r="30" spans="1:18" x14ac:dyDescent="0.3">
      <c r="A30" t="s">
        <v>13</v>
      </c>
      <c r="D30" s="3">
        <v>2</v>
      </c>
      <c r="P30" t="s">
        <v>53</v>
      </c>
      <c r="Q30" t="s">
        <v>54</v>
      </c>
    </row>
    <row r="31" spans="1:18" x14ac:dyDescent="0.3">
      <c r="A31" t="s">
        <v>17</v>
      </c>
      <c r="D31" s="3">
        <v>22</v>
      </c>
      <c r="L31">
        <f>SQRT(2*D23*D29/(4*(1-(1.136364/2))))</f>
        <v>48.122660449666256</v>
      </c>
      <c r="P31" s="26">
        <f>(D23/L31)*D29</f>
        <v>41.560461980107974</v>
      </c>
      <c r="Q31">
        <f>L31/2*(1-(M11/2))*G26</f>
        <v>41.560479479257218</v>
      </c>
      <c r="R31" s="56">
        <f>P31+Q31</f>
        <v>83.120941459365184</v>
      </c>
    </row>
    <row r="32" spans="1:18" x14ac:dyDescent="0.3">
      <c r="I32" t="s">
        <v>36</v>
      </c>
    </row>
    <row r="33" spans="1:17" ht="43.2" x14ac:dyDescent="0.3">
      <c r="A33" s="4" t="s">
        <v>31</v>
      </c>
      <c r="B33" s="5"/>
      <c r="C33" s="5"/>
      <c r="D33" s="6"/>
      <c r="E33" s="16" t="s">
        <v>18</v>
      </c>
      <c r="F33" s="12" t="s">
        <v>19</v>
      </c>
      <c r="G33" s="16" t="s">
        <v>20</v>
      </c>
      <c r="I33" s="18" t="s">
        <v>37</v>
      </c>
      <c r="M33">
        <f>(D23/D31)*8</f>
        <v>36.363636363636367</v>
      </c>
    </row>
    <row r="34" spans="1:17" x14ac:dyDescent="0.3">
      <c r="A34" s="7" t="s">
        <v>21</v>
      </c>
      <c r="D34" s="8"/>
      <c r="E34" s="19">
        <v>4</v>
      </c>
      <c r="F34" s="13" t="s">
        <v>22</v>
      </c>
      <c r="G34" s="23">
        <v>1000</v>
      </c>
    </row>
    <row r="35" spans="1:17" x14ac:dyDescent="0.3">
      <c r="A35" s="7" t="s">
        <v>23</v>
      </c>
      <c r="D35" s="8"/>
      <c r="E35" s="22">
        <v>4</v>
      </c>
      <c r="F35" s="13" t="s">
        <v>22</v>
      </c>
      <c r="G35" s="24">
        <v>2000</v>
      </c>
    </row>
    <row r="36" spans="1:17" x14ac:dyDescent="0.3">
      <c r="A36" s="7" t="s">
        <v>24</v>
      </c>
      <c r="D36" s="8"/>
      <c r="E36" s="22">
        <v>2</v>
      </c>
      <c r="F36" s="13" t="s">
        <v>25</v>
      </c>
      <c r="G36" s="24">
        <v>4000</v>
      </c>
    </row>
    <row r="37" spans="1:17" x14ac:dyDescent="0.3">
      <c r="A37" s="7" t="s">
        <v>26</v>
      </c>
      <c r="D37" s="8"/>
      <c r="E37" s="22">
        <v>3</v>
      </c>
      <c r="F37" s="13" t="s">
        <v>27</v>
      </c>
      <c r="G37" s="24">
        <v>3000</v>
      </c>
      <c r="M37" s="26"/>
    </row>
    <row r="38" spans="1:17" x14ac:dyDescent="0.3">
      <c r="A38" s="7" t="s">
        <v>28</v>
      </c>
      <c r="D38" s="8"/>
      <c r="E38" s="22">
        <v>9</v>
      </c>
      <c r="F38" s="13" t="s">
        <v>22</v>
      </c>
      <c r="G38" s="24">
        <v>13000</v>
      </c>
    </row>
    <row r="39" spans="1:17" x14ac:dyDescent="0.3">
      <c r="A39" s="9" t="s">
        <v>29</v>
      </c>
      <c r="B39" s="10"/>
      <c r="C39" s="10"/>
      <c r="D39" s="11"/>
      <c r="E39" s="20">
        <v>4</v>
      </c>
      <c r="F39" s="14" t="s">
        <v>30</v>
      </c>
      <c r="G39" s="25">
        <v>5000</v>
      </c>
    </row>
    <row r="41" spans="1:17" ht="15" thickBot="1" x14ac:dyDescent="0.35"/>
    <row r="42" spans="1:17" ht="15" thickBot="1" x14ac:dyDescent="0.35">
      <c r="D42" s="29"/>
      <c r="E42" s="29"/>
      <c r="F42" s="44" t="s">
        <v>38</v>
      </c>
      <c r="G42" s="21">
        <v>4</v>
      </c>
      <c r="H42" s="27"/>
      <c r="K42" s="27"/>
      <c r="L42" s="30"/>
      <c r="M42" s="27"/>
      <c r="N42" s="29"/>
      <c r="O42" s="29"/>
    </row>
    <row r="43" spans="1:17" ht="15" thickBot="1" x14ac:dyDescent="0.35">
      <c r="D43" s="26"/>
      <c r="E43" s="26"/>
      <c r="F43" s="33">
        <v>0</v>
      </c>
      <c r="G43" s="34">
        <v>4</v>
      </c>
      <c r="H43" s="28"/>
      <c r="J43" s="44" t="s">
        <v>39</v>
      </c>
      <c r="K43" s="21">
        <v>2</v>
      </c>
      <c r="L43" s="28"/>
      <c r="M43" s="28"/>
      <c r="N43" s="26"/>
      <c r="O43" s="26"/>
    </row>
    <row r="44" spans="1:17" ht="15" thickBot="1" x14ac:dyDescent="0.35">
      <c r="D44" s="26"/>
      <c r="E44" s="26"/>
      <c r="F44" s="35">
        <v>3</v>
      </c>
      <c r="G44" s="36">
        <v>7</v>
      </c>
      <c r="H44" s="28"/>
      <c r="J44" s="33">
        <v>4</v>
      </c>
      <c r="K44" s="34">
        <v>6</v>
      </c>
      <c r="N44" s="26"/>
      <c r="O44" s="26"/>
    </row>
    <row r="45" spans="1:17" ht="15" thickBot="1" x14ac:dyDescent="0.35">
      <c r="D45" s="43" t="s">
        <v>41</v>
      </c>
      <c r="E45" s="26"/>
      <c r="F45" s="28"/>
      <c r="G45" s="28"/>
      <c r="H45" s="28"/>
      <c r="J45" s="35">
        <v>7</v>
      </c>
      <c r="K45" s="36">
        <v>9</v>
      </c>
      <c r="M45" s="45" t="s">
        <v>40</v>
      </c>
      <c r="N45" s="38">
        <v>4</v>
      </c>
      <c r="Q45" s="43" t="s">
        <v>44</v>
      </c>
    </row>
    <row r="46" spans="1:17" ht="15" thickBot="1" x14ac:dyDescent="0.35">
      <c r="D46" s="26"/>
      <c r="E46" s="26"/>
      <c r="F46" s="45" t="s">
        <v>27</v>
      </c>
      <c r="G46" s="37">
        <v>4</v>
      </c>
      <c r="H46" s="28"/>
      <c r="J46" s="28"/>
      <c r="K46" s="28"/>
      <c r="M46" s="39">
        <v>9</v>
      </c>
      <c r="N46" s="40">
        <v>13</v>
      </c>
      <c r="O46" s="26"/>
    </row>
    <row r="47" spans="1:17" ht="15" thickBot="1" x14ac:dyDescent="0.35">
      <c r="D47" s="26"/>
      <c r="E47" s="26"/>
      <c r="F47" s="33">
        <v>0</v>
      </c>
      <c r="G47" s="34">
        <v>4</v>
      </c>
      <c r="H47" s="28"/>
      <c r="J47" s="45" t="s">
        <v>42</v>
      </c>
      <c r="K47" s="37">
        <v>3</v>
      </c>
      <c r="L47" s="28"/>
      <c r="M47" s="41">
        <v>9</v>
      </c>
      <c r="N47" s="42">
        <v>13</v>
      </c>
      <c r="O47" s="26"/>
      <c r="Q47" t="s">
        <v>45</v>
      </c>
    </row>
    <row r="48" spans="1:17" ht="15" thickBot="1" x14ac:dyDescent="0.35">
      <c r="D48" s="26"/>
      <c r="E48" s="26"/>
      <c r="F48" s="35">
        <v>3</v>
      </c>
      <c r="G48" s="36">
        <v>7</v>
      </c>
      <c r="H48" s="28"/>
      <c r="J48" s="33">
        <v>4</v>
      </c>
      <c r="K48" s="34">
        <v>7</v>
      </c>
      <c r="L48" s="28"/>
      <c r="M48" s="28"/>
      <c r="N48" s="26"/>
      <c r="O48" s="26"/>
    </row>
    <row r="49" spans="4:15" ht="15" thickBot="1" x14ac:dyDescent="0.35">
      <c r="D49" s="26"/>
      <c r="E49" s="26"/>
      <c r="F49" s="28"/>
      <c r="G49" s="28"/>
      <c r="H49" s="28"/>
      <c r="I49" s="28"/>
      <c r="J49" s="35">
        <v>10</v>
      </c>
      <c r="K49" s="36">
        <v>13</v>
      </c>
      <c r="L49" s="28"/>
      <c r="M49" s="28"/>
      <c r="N49" s="26"/>
      <c r="O49" s="26"/>
    </row>
    <row r="50" spans="4:15" ht="15" thickBot="1" x14ac:dyDescent="0.35">
      <c r="D50" s="26"/>
      <c r="E50" s="26"/>
      <c r="F50" s="45" t="s">
        <v>43</v>
      </c>
      <c r="G50" s="38">
        <v>9</v>
      </c>
      <c r="H50" s="28"/>
      <c r="I50" s="28"/>
      <c r="J50" s="28"/>
      <c r="K50" s="28"/>
      <c r="L50" s="32"/>
      <c r="M50" s="31"/>
      <c r="N50" s="31"/>
      <c r="O50" s="31"/>
    </row>
    <row r="51" spans="4:15" x14ac:dyDescent="0.3">
      <c r="D51" s="26"/>
      <c r="E51" s="26"/>
      <c r="F51" s="39">
        <v>0</v>
      </c>
      <c r="G51" s="40">
        <v>9</v>
      </c>
      <c r="H51" s="28"/>
      <c r="I51" s="28"/>
      <c r="J51" s="28"/>
      <c r="K51" s="28"/>
      <c r="L51" s="32"/>
      <c r="M51" s="31"/>
      <c r="N51" s="31"/>
      <c r="O51" s="31"/>
    </row>
    <row r="52" spans="4:15" ht="15" thickBot="1" x14ac:dyDescent="0.35">
      <c r="D52" s="26"/>
      <c r="E52" s="26"/>
      <c r="F52" s="41">
        <v>0</v>
      </c>
      <c r="G52" s="42">
        <v>9</v>
      </c>
      <c r="H52" s="28"/>
      <c r="I52" s="28"/>
      <c r="J52" s="28"/>
      <c r="K52" s="28"/>
      <c r="L52" s="28"/>
      <c r="M52" s="28"/>
      <c r="N52" s="26"/>
      <c r="O52" s="26"/>
    </row>
  </sheetData>
  <mergeCells count="2">
    <mergeCell ref="C2:I2"/>
    <mergeCell ref="C3:I3"/>
  </mergeCells>
  <pageMargins left="0.7" right="0.7" top="0.75" bottom="0.75" header="0.3" footer="0.3"/>
  <pageSetup paperSize="9" orientation="portrait" horizontalDpi="4294967293" verticalDpi="0" r:id="rId1"/>
  <drawing r:id="rId2"/>
  <legacyDrawing r:id="rId3"/>
  <controls>
    <mc:AlternateContent xmlns:mc="http://schemas.openxmlformats.org/markup-compatibility/2006">
      <mc:Choice Requires="x14">
        <control shapeId="1025" r:id="rId4" name="CommandButton1">
          <controlPr defaultSize="0" autoLine="0" r:id="rId5">
            <anchor moveWithCells="1">
              <from>
                <xdr:col>9</xdr:col>
                <xdr:colOff>266700</xdr:colOff>
                <xdr:row>1</xdr:row>
                <xdr:rowOff>7620</xdr:rowOff>
              </from>
              <to>
                <xdr:col>12</xdr:col>
                <xdr:colOff>167640</xdr:colOff>
                <xdr:row>2</xdr:row>
                <xdr:rowOff>160020</xdr:rowOff>
              </to>
            </anchor>
          </controlPr>
        </control>
      </mc:Choice>
      <mc:Fallback>
        <control shapeId="1025" r:id="rId4" name="CommandButton1"/>
      </mc:Fallback>
    </mc:AlternateContent>
    <mc:AlternateContent xmlns:mc="http://schemas.openxmlformats.org/markup-compatibility/2006">
      <mc:Choice Requires="x14">
        <control shapeId="1028" r:id="rId6" name="ComboBox1">
          <controlPr defaultSize="0" autoLine="0" linkedCell="H23" listFillRange="B6:B9" r:id="rId7">
            <anchor moveWithCells="1">
              <from>
                <xdr:col>7</xdr:col>
                <xdr:colOff>106680</xdr:colOff>
                <xdr:row>2</xdr:row>
                <xdr:rowOff>175260</xdr:rowOff>
              </from>
              <to>
                <xdr:col>11</xdr:col>
                <xdr:colOff>350520</xdr:colOff>
                <xdr:row>4</xdr:row>
                <xdr:rowOff>7620</xdr:rowOff>
              </to>
            </anchor>
          </controlPr>
        </control>
      </mc:Choice>
      <mc:Fallback>
        <control shapeId="1028" r:id="rId6" name="ComboBox1"/>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FD8C5-BFDC-49BA-BDE4-DA8816E9B214}">
  <dimension ref="B1:F8"/>
  <sheetViews>
    <sheetView workbookViewId="0">
      <selection activeCell="H14" sqref="H14"/>
    </sheetView>
  </sheetViews>
  <sheetFormatPr defaultRowHeight="14.4" x14ac:dyDescent="0.3"/>
  <cols>
    <col min="2" max="2" width="7" bestFit="1" customWidth="1"/>
  </cols>
  <sheetData>
    <row r="1" spans="2:6" ht="15" thickBot="1" x14ac:dyDescent="0.35"/>
    <row r="2" spans="2:6" ht="43.8" thickBot="1" x14ac:dyDescent="0.35">
      <c r="B2" s="53" t="s">
        <v>46</v>
      </c>
      <c r="C2" s="54" t="s">
        <v>49</v>
      </c>
      <c r="D2" s="54" t="s">
        <v>50</v>
      </c>
      <c r="E2" s="54" t="s">
        <v>47</v>
      </c>
      <c r="F2" s="55" t="s">
        <v>48</v>
      </c>
    </row>
    <row r="3" spans="2:6" x14ac:dyDescent="0.3">
      <c r="B3" s="51" t="s">
        <v>38</v>
      </c>
      <c r="C3" s="14">
        <v>4</v>
      </c>
      <c r="D3" s="14">
        <v>3</v>
      </c>
      <c r="E3" s="14">
        <v>1000</v>
      </c>
      <c r="F3" s="52">
        <v>2000</v>
      </c>
    </row>
    <row r="4" spans="2:6" x14ac:dyDescent="0.3">
      <c r="B4" s="46" t="s">
        <v>27</v>
      </c>
      <c r="C4" s="3">
        <v>4</v>
      </c>
      <c r="D4" s="3">
        <v>4</v>
      </c>
      <c r="E4" s="3">
        <v>2000</v>
      </c>
      <c r="F4" s="47">
        <v>2000</v>
      </c>
    </row>
    <row r="5" spans="2:6" x14ac:dyDescent="0.3">
      <c r="B5" s="46" t="s">
        <v>39</v>
      </c>
      <c r="C5" s="3">
        <v>2</v>
      </c>
      <c r="D5" s="3">
        <v>1</v>
      </c>
      <c r="E5" s="3">
        <v>4000</v>
      </c>
      <c r="F5" s="47">
        <v>5000</v>
      </c>
    </row>
    <row r="6" spans="2:6" x14ac:dyDescent="0.3">
      <c r="B6" s="46" t="s">
        <v>42</v>
      </c>
      <c r="C6" s="3">
        <v>3</v>
      </c>
      <c r="D6" s="3">
        <v>3</v>
      </c>
      <c r="E6" s="3">
        <v>3000</v>
      </c>
      <c r="F6" s="47">
        <v>3000</v>
      </c>
    </row>
    <row r="7" spans="2:6" x14ac:dyDescent="0.3">
      <c r="B7" s="46" t="s">
        <v>43</v>
      </c>
      <c r="C7" s="3">
        <v>9</v>
      </c>
      <c r="D7" s="3">
        <v>7</v>
      </c>
      <c r="E7" s="3">
        <v>13000</v>
      </c>
      <c r="F7" s="47">
        <v>17000</v>
      </c>
    </row>
    <row r="8" spans="2:6" ht="15" thickBot="1" x14ac:dyDescent="0.35">
      <c r="B8" s="48" t="s">
        <v>40</v>
      </c>
      <c r="C8" s="49">
        <v>4</v>
      </c>
      <c r="D8" s="49">
        <v>4</v>
      </c>
      <c r="E8" s="49">
        <v>5000</v>
      </c>
      <c r="F8" s="50">
        <v>5000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AAB start</vt:lpstr>
      <vt:lpstr>Project crashing</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Annette van der Merwe</dc:creator>
  <cp:lastModifiedBy>Musawakhe Chipeya</cp:lastModifiedBy>
  <dcterms:created xsi:type="dcterms:W3CDTF">2020-08-27T13:22:50Z</dcterms:created>
  <dcterms:modified xsi:type="dcterms:W3CDTF">2025-09-05T09:30:28Z</dcterms:modified>
</cp:coreProperties>
</file>